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 v2.0" sheetId="1" r:id="rId5"/>
  </sheets>
  <definedNames/>
  <calcPr/>
</workbook>
</file>

<file path=xl/sharedStrings.xml><?xml version="1.0" encoding="utf-8"?>
<sst xmlns="http://schemas.openxmlformats.org/spreadsheetml/2006/main" count="386" uniqueCount="297">
  <si>
    <t>Vibe Test Case</t>
  </si>
  <si>
    <t>Test Result</t>
  </si>
  <si>
    <t>Total</t>
  </si>
  <si>
    <t>Pass</t>
  </si>
  <si>
    <t>Fail</t>
  </si>
  <si>
    <t>Block</t>
  </si>
  <si>
    <t>NI</t>
  </si>
  <si>
    <t>Coverage</t>
  </si>
  <si>
    <t>테스트 진입점</t>
  </si>
  <si>
    <t>#</t>
  </si>
  <si>
    <t>TC ID</t>
  </si>
  <si>
    <t>시나리오</t>
  </si>
  <si>
    <t>사전 조건</t>
  </si>
  <si>
    <t>테스트 단계 (Steps)</t>
  </si>
  <si>
    <t>확인 주체</t>
  </si>
  <si>
    <t>Final
Result</t>
  </si>
  <si>
    <t>테스트 환경 / 담당자</t>
  </si>
  <si>
    <t>Comment</t>
  </si>
  <si>
    <t>https://vibetest.codes/</t>
  </si>
  <si>
    <t>AUTH-01</t>
  </si>
  <si>
    <t>유효한 관리자 번호+비밀번호로 로그인 성공 (Positive)</t>
  </si>
  <si>
    <t>1. 서버 구동 상태
2. admins 테이블에 ADMIN 역할 계정 존재 (adminNumber: A001 / isActive: true)
3. 브라우저 쿠키 초기화</t>
  </si>
  <si>
    <t>1. 루트 URL 접속 후 관리자 로그인 페이지 이동
 2. identifier 필드에 'A001' 입력
 3. 비밀번호 올바르게 입력
 4. 로그인 버튼 클릭</t>
  </si>
  <si>
    <t>[UI] /admin/dashboard 로 리다이렉트
 [Network] POST /api/auth/admin/login → 200 / body.code='COMMON200' / body.result.role='ADMIN'
 [Browser] access_token 쿠키 설정됨(HttpOnly=true) / refresh_token 쿠키 설정됨(HttpOnly=true)</t>
  </si>
  <si>
    <t>비개발자</t>
  </si>
  <si>
    <t>이찬욱</t>
  </si>
  <si>
    <t>AUTH-02</t>
  </si>
  <si>
    <t>MASTER 계정 로그인 후 /master 대시보드 접근 (Positive)</t>
  </si>
  <si>
    <t>1. 서버 구동 상태
2. admins 테이블에 MASTER 역할 계정 존재
3. 브라우저 쿠키 초기화</t>
  </si>
  <si>
    <t>1. 관리자 로그인 페이지 접속
 2. MASTER 계정 identifier 및 비밀번호 입력
 3. 로그인 버튼 클릭</t>
  </si>
  <si>
    <t>[UI] /master 또는 /master/dashboard 로 리다이렉트
 [Network] POST /api/auth/admin/login → 200 / body.result.role='MASTER'
 [Browser] access_token + refresh_token HttpOnly 쿠키 설정됨</t>
  </si>
  <si>
    <t>AUTH-03</t>
  </si>
  <si>
    <t>잘못된 비밀번호로 로그인 실패 (Negative)</t>
  </si>
  <si>
    <t>1. 서버 구동 상태
2. admins 테이블에 ADMIN 계정 존재</t>
  </si>
  <si>
    <t>1. 관리자 로그인 페이지 접속
 2. 올바른 identifier 입력
 3. 틀린 비밀번호 입력
 4. 로그인 버튼 클릭</t>
  </si>
  <si>
    <t>[UI] '아이디 또는 비밀번호가 일치하지 않습니다.' 오류 메시지 표시
 [Network] POST /api/auth/admin/login → 400 / body.code='AUTH009'
 [Browser] 쿠키 미설정</t>
  </si>
  <si>
    <t>AUTH-04</t>
  </si>
  <si>
    <t>비활성화된 관리자 계정 로그인 시도 (Negative)</t>
  </si>
  <si>
    <t>1. admins 테이블에 isActive=false 인 ADMIN 계정 존재
 2. 브라우저 쿠키 초기화</t>
  </si>
  <si>
    <t>1. 관리자 로그인 페이지 접속
 2. 비활성 계정 identifier + 올바른 비밀번호 입력
 3. 로그인 버튼 클릭</t>
  </si>
  <si>
    <t>[UI] 오류 메시지 표시
 [Network] POST /api/auth/admin/login → 403 / body.code='AUTH022' / body.message='비활성화된 관리자 계정입니다.'
 [Browser] 쿠키 미설정</t>
  </si>
  <si>
    <t>공통</t>
  </si>
  <si>
    <t>https://vibetest.codes/admin/dashboard</t>
  </si>
  <si>
    <t>AUTH-05</t>
  </si>
  <si>
    <t>로그아웃 후 access_token + refresh_token 쿠키 삭제 확인 (Positive)</t>
  </si>
  <si>
    <t>1. ADMIN 계정으로 로그인된 상태
 2. access_token + refresh_token 쿠키 존재</t>
  </si>
  <si>
    <t>1. 대시보드 우상단 로그아웃 버튼 클릭
 2. 로그인 페이지로 리다이렉트 확인</t>
  </si>
  <si>
    <t>[UI] 로그인 페이지로 이동
 [Network] POST /api/auth/admin/logout → 200
 [Browser] access_token 쿠키 삭제됨 / refresh_token 쿠키 삭제됨
 [DB] Redis에서 해당 adminId의 refresh_token 삭제됨</t>
  </si>
  <si>
    <t>POST /api/auth/admin/reissue (직접 호출)</t>
  </si>
  <si>
    <t>AUTH-06</t>
  </si>
  <si>
    <t>access_token 만료 시 refresh_token으로 자동 재발급 (Positive)</t>
  </si>
  <si>
    <t>1. ADMIN 계정으로 로그인된 상태
 2. access_token 의 TTL을 임의로 만료시킨 상태
 3. refresh_token은 유효한 상태</t>
  </si>
  <si>
    <t>1. 로그인 상태에서 보호된 API 호출 (예: GET /api/admin/exams)
 2. 401 응답 후 자동 재발급 로직 동작 확인</t>
  </si>
  <si>
    <t>[Network] 첫 요청 → 401 / 자동으로 POST /api/auth/admin/reissue 호출 → 200 / 재시도 요청 → 200
 [Browser] 신규 access_token 쿠키로 교체됨 / 신규 refresh_token 쿠키로 교체됨(rotation)</t>
  </si>
  <si>
    <t>개발자</t>
  </si>
  <si>
    <t>AUTH-07</t>
  </si>
  <si>
    <t>만료된 refresh_token으로 재발급 실패 후 로그인 페이지 리다이렉트 (Negative)</t>
  </si>
  <si>
    <t>1. ADMIN 계정 로그인 상태
 2. Redis에서 해당 refresh_token 삭제 또는 TTL 만료
 3. access_token도 만료 상태</t>
  </si>
  <si>
    <t>1. 보호된 API 호출
 2. 자동 재발급 시도</t>
  </si>
  <si>
    <t>[Network] POST /api/auth/admin/reissue → 400 / body.code='AUTH005' 또는 'AUTH007'
 [UI] /?auth_expired=1 으로 리다이렉트
 [Browser] 기존 쿠키 잔존 여부 확인 (BE가 Clear-Cookie 헤더 전송해야 함)</t>
  </si>
  <si>
    <t>https://vibetest.codes/admin-signup</t>
  </si>
  <si>
    <t>AUTH-08</t>
  </si>
  <si>
    <t>유효한 관리자 번호로 회원가입 성공 (Positive)</t>
  </si>
  <si>
    <t>1. admin_numbers 테이블에 미할당(assignedAdminId=null) + isActive=true 인 관리자 번호 'B001' 존재
 2. 동일 이메일 미사용</t>
  </si>
  <si>
    <t>1. /admin-signup 페이지 접속
 2. adminNumber: 'B001' / email: 'new@test.com' / password: 'Pass1234!' 입력
 3. 회원가입 버튼 클릭</t>
  </si>
  <si>
    <t>[UI] 성공 메시지 또는 로그인 페이지로 리다이렉트
 [Network] POST /api/auth/admin/signup → 200 / body.code='COMMON200'
 [DB] admins 테이블에 신규 row 생성 / role='ADMIN' / isActive=true / admin_numbers 의 assignedAdminId 업데이트됨</t>
  </si>
  <si>
    <t>AUTH-09</t>
  </si>
  <si>
    <t>이미 사용 중인 이메일로 회원가입 시도 (Negative)</t>
  </si>
  <si>
    <t>1. admins 테이블에 'existing@test.com' 이메일 계정 존재
 2. 유효한 미할당 관리자 번호 존재</t>
  </si>
  <si>
    <t>1. /admin-signup 접속
 2. 유효한 adminNumber + 'existing@test.com' + 비밀번호 입력
 3. 회원가입 버튼 클릭</t>
  </si>
  <si>
    <t>[UI] 오류 메시지 표시
 [Network] POST /api/auth/admin/signup → 400 / body.code='AUTH010' / body.message='이미 가입된 이메일입니다.'
 [DB] admins 테이블 신규 row 미생성</t>
  </si>
  <si>
    <t>AUTH-10</t>
  </si>
  <si>
    <t>비활성화된 관리자 번호로 회원가입 시도 (Negative)</t>
  </si>
  <si>
    <t>1. admin_numbers 테이블에 isActive=false 인 관리자 번호 존재</t>
  </si>
  <si>
    <t>1. /admin-signup 접속
 2. 비활성 adminNumber + 신규 이메일 + 비밀번호 입력
 3. 회원가입 버튼 클릭</t>
  </si>
  <si>
    <t>[UI] 오류 메시지 표시
 [Network] POST /api/auth/admin/signup → 400 / body.code='AUTH019' / body.message='사용할 수 없는 관리자 번호입니다.'
 [DB] admins 테이블 신규 row 미생성</t>
  </si>
  <si>
    <t>AUTH-11</t>
  </si>
  <si>
    <t>이미 다른 계정에 할당된 관리자 번호로 회원가입 시도 (Negative)</t>
  </si>
  <si>
    <t>1. admin_numbers 테이블에 assignedAdminId가 null이 아닌 관리자 번호 존재</t>
  </si>
  <si>
    <t>1. /admin-signup 접속
 2. 이미 할당된 adminNumber + 신규 이메일 + 비밀번호 입력
 3. 회원가입 버튼 클릭</t>
  </si>
  <si>
    <t>[UI] 오류 메시지 표시
 [Network] POST /api/auth/admin/signup → 400 / body.code='AUTH017' 또는 'AUTH018'
 [DB] admins 테이블 신규 row 미생성</t>
  </si>
  <si>
    <t>EXAM-01</t>
  </si>
  <si>
    <t>유효한 정보로 시험 생성 성공 (Positive)</t>
  </si>
  <si>
    <t>1. ADMIN 계정 로그인 상태
 2. /admin/dashboard 접속</t>
  </si>
  <si>
    <t>1. 시험 생성 버튼 클릭
 2. title: '2024 상반기 코딩테스트' / startsAt: 현재 +1시간 / endsAt: 현재 +3시간 입력
 3. 확인 버튼 클릭</t>
  </si>
  <si>
    <t>[UI] 시험 목록에 신규 시험 표시 / state='WAITING'
 [Network] POST /api/admin/exams → 200 / body.result.state='WAITING'
 [DB] exams 테이블에 신규 row 생성 / createdBy=로그인한 adminId</t>
  </si>
  <si>
    <t>EXAM-02</t>
  </si>
  <si>
    <t>제목 없이 시험 생성 실패 (Negative)</t>
  </si>
  <si>
    <t>1. ADMIN 계정 로그인 상태</t>
  </si>
  <si>
    <t>1. 시험 생성 폼에서 title 비워두고 시작/종료 시간만 입력
 2. 확인 버튼 클릭</t>
  </si>
  <si>
    <t>[UI] '시험 제목은 필수입니다' 유효성 오류 표시
 [Network] POST /api/admin/exams → 400 / body.message 포함
 [DB] exams 테이블 신규 row 미생성</t>
  </si>
  <si>
    <t>EXAM-03</t>
  </si>
  <si>
    <t>WAITING 상태 시험 시작 성공 (Positive)</t>
  </si>
  <si>
    <t>1. ADMIN 계정 로그인 상태
 2. exams 테이블에 state='WAITING' 시험 존재</t>
  </si>
  <si>
    <t>1. /admin/dashboard 에서 해당 시험 선택
 2. '시험 시작' 버튼 클릭
 3. 확인 다이얼로그에서 확인</t>
  </si>
  <si>
    <t>[UI] 시험 상태가 'RUNNING'으로 변경됨 표시
 [Network] POST /api/admin/exams/{id}/start → 200
 [DB] exams 테이블 state='RUNNING' / version 1 증가</t>
  </si>
  <si>
    <t>EXAM-04</t>
  </si>
  <si>
    <t>RUNNING 상태 시험 종료 성공 (Positive)</t>
  </si>
  <si>
    <t>1. ADMIN 계정 로그인 상태
 2. exams 테이블에 state='RUNNING' 시험 존재</t>
  </si>
  <si>
    <t>1. 해당 시험 선택
 2. '시험 종료' 버튼 클릭
 3. 확인 다이얼로그에서 확인</t>
  </si>
  <si>
    <t>[UI] 시험 상태가 'ENDED'로 변경됨 표시
 [Network] POST /api/admin/exams/{id}/end → 200
 [DB] exams 테이블 state='ENDED' / version 1 증가</t>
  </si>
  <si>
    <t>EXAM-05</t>
  </si>
  <si>
    <t>RUNNING 상태 시험 시간 연장 성공 (Positive)</t>
  </si>
  <si>
    <t>1. ADMIN 계정 로그인 상태
 2. exams 테이블에 state='RUNNING' 시험 존재
 3. 기존 endsAt 값 기록</t>
  </si>
  <si>
    <t>1. 해당 시험 선택
 2. '시간 연장' 버튼 클릭
 3. 연장 분수(예: 30분) 입력
 4. 확인</t>
  </si>
  <si>
    <t>[UI] 종료 시간이 30분 연장되어 표시됨
 [Network] POST /api/admin/exams/{id}/extend → 200 / body: {minutes: 30}
 [DB] exams 테이블 endsAt=기존 endsAt+30분 / version 1 증가</t>
  </si>
  <si>
    <t>POST /api/admin/exams/{id}/start (직접 호출)</t>
  </si>
  <si>
    <t>EXAM-06</t>
  </si>
  <si>
    <t>이미 RUNNING 상태인 시험 재시작 시도 (Negative)</t>
  </si>
  <si>
    <t>1. ADMIN 계정 로그인 상태
 2. state='RUNNING' 시험 존재</t>
  </si>
  <si>
    <t>1. 이미 시작된 시험의 '시작' 버튼 클릭 (API 직접 호출 또는 UI 우회)</t>
  </si>
  <si>
    <t>[Network] POST /api/admin/exams/{id}/start → 400 / body.code='EXAM002' 또는 'EXAM004' / body.message='잘못된 시험 상태입니다.'
 [DB] exams 테이블 state 변경 없음</t>
  </si>
  <si>
    <t>POST /api/admin/exams/{id}/end (직접 호출)</t>
  </si>
  <si>
    <t>EXAM-07</t>
  </si>
  <si>
    <t>WAITING 상태 시험 종료 시도 (Negative)</t>
  </si>
  <si>
    <t>1. ADMIN 계정 로그인 상태
 2. state='WAITING' 시험 존재</t>
  </si>
  <si>
    <t>1. WAITING 시험에 대해 POST /api/admin/exams/{id}/end 직접 호출</t>
  </si>
  <si>
    <t>[Network] POST /api/admin/exams/{id}/end → 400 / body.code='EXAM002' / body.message='잘못된 시험 상태입니다.'
 [DB] exams 테이블 state 변경 없음</t>
  </si>
  <si>
    <t>POST /api/admin/exams/{id}/extend (직접 호출)</t>
  </si>
  <si>
    <t>EXAM-08</t>
  </si>
  <si>
    <t>ENDED 상태 시험 시간 연장 시도 (Negative)</t>
  </si>
  <si>
    <t>1. ADMIN 계정 로그인 상태
 2. state='ENDED' 시험 존재</t>
  </si>
  <si>
    <t>1. ENDED 시험에 대해 POST /api/admin/exams/{id}/extend 직접 호출 / body: {minutes: 10}</t>
  </si>
  <si>
    <t>[Network] POST /api/admin/exams/{id}/extend → 400 / body.code='EXAM003' / body.message='진행 중인 시험만 연장할 수 있습니다.'
 [DB] endsAt 변경 없음</t>
  </si>
  <si>
    <t>DELETE /api/admin/exams/99999 (직접 호출)</t>
  </si>
  <si>
    <t>EXAM-09</t>
  </si>
  <si>
    <t>존재하지 않는 시험 삭제 시도 (Negative)</t>
  </si>
  <si>
    <t>1. DELETE /api/admin/exams/99999 직접 호출 (존재하지 않는 ID)</t>
  </si>
  <si>
    <t>[Network] DELETE /api/admin/exams/99999 → 404 / body.code='EXAM001' / body.message='시험을 찾을 수 없습니다.'</t>
  </si>
  <si>
    <t>https://vibetest.codes/admin/entry-codes</t>
  </si>
  <si>
    <t>ENTRY-01</t>
  </si>
  <si>
    <t>입장 코드 생성 성공 (Positive)</t>
  </si>
  <si>
    <t>1. /admin/entry-codes 페이지 접속
 2. '입장 코드 생성' 클릭
 3. examId 선택 / label: '테스트 그룹A' / maxUses: 30 / tokenLimit: 20000 / expiresAt: 내일 날짜 입력
 4. 생성 버튼 클릭</t>
  </si>
  <si>
    <t>[UI] 신규 입장 코드가 목록에 표시됨 / isActive=true
 [Network] POST /api/admin/entry-codes → 200 / body.result.code 값 존재
 [DB] entry_codes 테이블에 신규 row 생성 / usedCount=0 / isActive=true</t>
  </si>
  <si>
    <t>ENTRY-02</t>
  </si>
  <si>
    <t>만료일을 과거 시점으로 입장 코드 생성 시도 (Negative)</t>
  </si>
  <si>
    <t>1. 입장 코드 생성 폼에서 expiresAt을 어제 날짜로 입력
 2. 생성 버튼 클릭</t>
  </si>
  <si>
    <t>[UI] '만료일은 현재 이후여야 합니다.' 유효성 오류 표시
 [Network] POST /api/admin/entry-codes → 400
 [DB] entry_codes 테이블 신규 row 미생성</t>
  </si>
  <si>
    <t>ENTRY-03</t>
  </si>
  <si>
    <t>입장 코드 비활성화(토글) 성공 (Positive)</t>
  </si>
  <si>
    <t>1. ADMIN 계정 로그인 상태
 2. entry_codes 테이블에 isActive=true 코드 존재</t>
  </si>
  <si>
    <t>1. /admin/entry-codes 에서 활성 코드의 토글 클릭</t>
  </si>
  <si>
    <t>[UI] 코드 상태가 '비활성'으로 변경됨
 [Network] PATCH /api/admin/entry-codes/{code} → 200 / body.result.isActive=false
 [DB] entry_codes 테이블 isActive=false로 업데이트</t>
  </si>
  <si>
    <t>ENTRY-04</t>
  </si>
  <si>
    <t>삭제된 입장 코드 수험자 입장 시도 (Negative)</t>
  </si>
  <si>
    <t>1. 입장 코드 'TESTCODE1'이 DB에서 삭제된 상태</t>
  </si>
  <si>
    <t>1. 루트 URL에서 code: 'TESTCODE1' / name: '홍길동' / phone: '010-1234-5678' 입력
 2. 입장 버튼 클릭</t>
  </si>
  <si>
    <t>[UI] '입장코드가 유효하지 않습니다.' 오류 표시
 [Network] POST /api/auth/enter → 400 / body.code='AUTH012'</t>
  </si>
  <si>
    <t>ENTRY-05</t>
  </si>
  <si>
    <t>maxUses 초과 입장 코드로 수험자 입장 시도 (Negative)</t>
  </si>
  <si>
    <t>1. entry_codes 테이블에 maxUses=2 / usedCount=2 인 코드 존재</t>
  </si>
  <si>
    <t>1. 해당 코드로 수험자 입장 시도</t>
  </si>
  <si>
    <t>[UI] '정원 초과입니다.' 오류 표시
 [Network] POST /api/auth/enter → 400 / body.code='AUTH014'
 [DB] usedCount 변경 없음</t>
  </si>
  <si>
    <t>ENTRY-06</t>
  </si>
  <si>
    <t>만료된 입장 코드로 수험자 입장 시도 (Negative)</t>
  </si>
  <si>
    <t>1. entry_codes 테이블에 expiresAt이 과거 시점인 코드 존재 / isActive=true</t>
  </si>
  <si>
    <t>1. 만료된 코드로 수험자 입장 시도</t>
  </si>
  <si>
    <t>[Network] POST /api/auth/enter → 400 / body.code='AUTH013' / body.message='만료된 코드입니다.'
 [DB] usedCount 변경 없음</t>
  </si>
  <si>
    <t>ENTRY-07</t>
  </si>
  <si>
    <t>비활성화된 입장 코드로 수험자 입장 시도 (Negative)</t>
  </si>
  <si>
    <t>1. entry_codes 테이블에 isActive=false 인 코드 존재</t>
  </si>
  <si>
    <t>1. 비활성 코드로 수험자 입장 시도</t>
  </si>
  <si>
    <t>[Network] POST /api/auth/enter → 400 / body.code='AUTH012' / body.message='입장코드가 유효하지 않습니다.'
 [DB] usedCount 변경 없음</t>
  </si>
  <si>
    <t>BOARD-01</t>
  </si>
  <si>
    <t>진행 중인 시험 참가자 현황 보드 조회 성공 (Positive)</t>
  </si>
  <si>
    <t>1. ADMIN 계정 로그인 상태
 2. state='RUNNING' 시험에 수험자 1명 이상 입장한 상태</t>
  </si>
  <si>
    <t>1. /admin/dashboard 접속
 2. 참가자 보드 탭 또는 메뉴 선택</t>
  </si>
  <si>
    <t>[UI] 수험자 목록 표시 (이름 마스킹 / state / tokenUsed / submitted 컬럼 포함)
 [Network] GET /api/admin/board?examId={id} → 200 / body.result 배열 길이 &gt; 0</t>
  </si>
  <si>
    <t>https://vibetest.codes/admin/server-status</t>
  </si>
  <si>
    <t>BOARD-02</t>
  </si>
  <si>
    <t>실시간 메트릭(동접자 수 / 채점 큐 깊이) 조회 (Positive)</t>
  </si>
  <si>
    <t>1. ADMIN 계정 로그인 상태
 2. RUNNING 시험 존재</t>
  </si>
  <si>
    <t>1. /admin/dashboard 또는 /admin/server-status 접속</t>
  </si>
  <si>
    <t>[UI] activeExaminees / wsConnections / judgeQueueDepth / avgWaitSec 수치 표시
 [Network] GET /api/admin/metrics?examId={id} → 200 / body.result.concurrency / body.result.queue 객체 존재</t>
  </si>
  <si>
    <t>https://vibetest.codes/admin/problems</t>
  </si>
  <si>
    <t>PROB-01</t>
  </si>
  <si>
    <t>유효한 정보로 문제 생성 성공 (Positive)</t>
  </si>
  <si>
    <t>1. /admin/problems 접속
 2. '문제 생성' 클릭
 3. title: 'BFS 최단거리' / difficulty: 'MEDIUM' / tags: '["BFS","Graph"]' 입력
 4. 생성 버튼 클릭</t>
  </si>
  <si>
    <t>[UI] 문제 목록에 신규 문제 표시
 [Network] POST /api/admin/problems → 200 / body.result.difficulty='MEDIUM'
 [DB] problems 테이블에 신규 row 생성</t>
  </si>
  <si>
    <t>PROB-02</t>
  </si>
  <si>
    <t>제목 없이 문제 생성 실패 (Negative)</t>
  </si>
  <si>
    <t>1. 문제 생성 폼에서 title 비워두고 difficulty만 선택
 2. 생성 버튼 클릭</t>
  </si>
  <si>
    <t>[UI] '문제 제목은 필수입니다.' 유효성 오류 표시
 [Network] POST /api/admin/problems → 400
 [DB] problems 테이블 신규 row 미생성</t>
  </si>
  <si>
    <t>PROB-03</t>
  </si>
  <si>
    <t>200자 초과 제목으로 문제 생성 실패 (Negative)</t>
  </si>
  <si>
    <t>1. title에 201자 문자열 입력
 2. difficulty 선택
 3. 생성 버튼 클릭</t>
  </si>
  <si>
    <t>[UI] '제목은 200자 이하여야 합니다.' 유효성 오류 표시
 [Network] POST /api/admin/problems → 400</t>
  </si>
  <si>
    <t>PROB-04</t>
  </si>
  <si>
    <t>문제 삭제 성공 (Positive)</t>
  </si>
  <si>
    <t>1. ADMIN 계정 로그인 상태
 2. problems 테이블에 삭제할 문제 존재</t>
  </si>
  <si>
    <t>1. /admin/problems 에서 문제 선택
 2. '삭제' 버튼 클릭
 3. 확인 다이얼로그 확인</t>
  </si>
  <si>
    <t>[UI] 문제 목록에서 해당 문제 제거됨
 [Network] DELETE /api/admin/problems/{id} → 200
 [DB] problems 테이블에서 해당 row 삭제됨</t>
  </si>
  <si>
    <t>DELETE /api/admin/problems/99999 (직접 호출)</t>
  </si>
  <si>
    <t>PROB-05</t>
  </si>
  <si>
    <t>존재하지 않는 문제 삭제 시도 (Negative)</t>
  </si>
  <si>
    <t>1. DELETE /api/admin/problems/99999 직접 호출</t>
  </si>
  <si>
    <t>[Network] DELETE /api/admin/problems/99999 → 404 / body.message 포함</t>
  </si>
  <si>
    <t>https://vibetest.codes/admin/settings</t>
  </si>
  <si>
    <t>ACCT-01</t>
  </si>
  <si>
    <t>관리자 비밀번호 변경 성공 (Positive)</t>
  </si>
  <si>
    <t>1. /admin/settings 접속
 2. currentPassword에 현재 비밀번호 입력
 3. newPassword에 'NewPass1234!' 입력
 4. 변경 버튼 클릭</t>
  </si>
  <si>
    <t>[UI] '비밀번호가 변경되었습니다.' 성공 메시지 표시
 [Network] PATCH /api/admin/account/password → 200 / body.code='COMMON200'
 [DB] admins 테이블 passwordHash 업데이트됨</t>
  </si>
  <si>
    <t>ACCT-02</t>
  </si>
  <si>
    <t>틀린 현재 비밀번호로 비밀번호 변경 실패 (Negative)</t>
  </si>
  <si>
    <t>1. /admin/settings 접속
 2. currentPassword에 틀린 비밀번호 입력
 3. newPassword 입력
 4. 변경 버튼 클릭</t>
  </si>
  <si>
    <t>[UI] 오류 메시지 표시
 [Network] PATCH /api/admin/account/password → 400 또는 401 / body.message 포함
 [DB] passwordHash 변경 없음</t>
  </si>
  <si>
    <t>https://vibetest.codes/master/admin-accounts</t>
  </si>
  <si>
    <t>MASTER-01</t>
  </si>
  <si>
    <t>관리자 번호 발급 성공 (Positive)</t>
  </si>
  <si>
    <t>1. MASTER 계정 로그인 상태</t>
  </si>
  <si>
    <t>1. /master/admin-accounts 접속
 2. '관리자 번호 발급' 클릭
 3. label: '2024 신규 감독관' / expiresAt: 내년 날짜 입력
 4. 발급 버튼 클릭</t>
  </si>
  <si>
    <t>[UI] 신규 관리자 번호가 목록에 표시됨 / active=true
 [Network] POST /api/admin/admin-numbers → 200 / body.result.adminNumber 값 존재
 [DB] admin_numbers 테이블에 신규 row 생성 / assignedAdminId=null</t>
  </si>
  <si>
    <t>MASTER-02</t>
  </si>
  <si>
    <t>전체 관리자 목록 조회 성공 (Positive)</t>
  </si>
  <si>
    <t>1. /master/admin-accounts 접속</t>
  </si>
  <si>
    <t>[UI] 전체 ADMIN 목록 표시 (adminNumber / email / role / is2faEnabled 컬럼)
 [Network] GET /api/admin/admin-numbers/admins → 200 / body.result.admins 배열 존재</t>
  </si>
  <si>
    <t>MASTER-03</t>
  </si>
  <si>
    <t>관리자 번호 활성/비활성 토글 성공 (Positive)</t>
  </si>
  <si>
    <t>1. MASTER 계정 로그인 상태
 2. admin_numbers 테이블에 active=true 인 일반 관리자 번호 존재</t>
  </si>
  <si>
    <t>1. /master/admin-accounts 에서 해당 관리자 번호 토글 클릭</t>
  </si>
  <si>
    <t>[UI] active 상태가 '비활성'으로 변경 표시
 [Network] PATCH /api/admin/admin-numbers/{adminNumber} → 200 / body.result.active=false
 [DB] admin_numbers 테이블 isActive=false 업데이트</t>
  </si>
  <si>
    <t>POST /api/admin/admin-numbers (직접 호출)</t>
  </si>
  <si>
    <t>MASTER-04</t>
  </si>
  <si>
    <t>ADMIN 권한으로 관리자 번호 발급 시도 (Negative)</t>
  </si>
  <si>
    <t>1. ADMIN(감독관) 계정 로그인 상태</t>
  </si>
  <si>
    <t>1. POST /api/admin/admin-numbers 직접 호출 / body: {}</t>
  </si>
  <si>
    <t>[Network] POST /api/admin/admin-numbers → 403 / body.code='AUTH020' / body.message='MASTER 권한이 필요합니다.'</t>
  </si>
  <si>
    <t>PATCH /api/admin/admin-numbers/{masterNum} (직접 호출)</t>
  </si>
  <si>
    <t>MASTER-05</t>
  </si>
  <si>
    <t>MASTER 계정 비활성화 시도 (Negative)</t>
  </si>
  <si>
    <t>1. MASTER 계정 로그인 상태
 2. admin_numbers 테이블에서 MASTER 계정의 adminNumber 확인</t>
  </si>
  <si>
    <t>1. PATCH /api/admin/admin-numbers/{masterAdminNumber} 직접 호출 / body: {active: false}</t>
  </si>
  <si>
    <t>[Network] PATCH → 400 / body.code='AUTH021' / body.message='마스터 계정은 비활성화할 수 없습니다.'
 [DB] isActive 변경 없음</t>
  </si>
  <si>
    <t>GET /api/admin/admin-numbers/admins (직접 호출)</t>
  </si>
  <si>
    <t>MASTER-06</t>
  </si>
  <si>
    <t>ADMIN 권한으로 전체 관리자 목록 조회 시도 (Negative)</t>
  </si>
  <si>
    <t>1. GET /api/admin/admin-numbers/admins 직접 호출</t>
  </si>
  <si>
    <t>[Network] GET /api/admin/admin-numbers/admins → 403 / body.code='AUTH020'</t>
  </si>
  <si>
    <t>https://vibetest.codes/ → 로그인 후</t>
  </si>
  <si>
    <t>SEC-01</t>
  </si>
  <si>
    <t>access_token 쿠키 HttpOnly 속성 검증 (Positive)</t>
  </si>
  <si>
    <t>1. ADMIN 계정 로그인</t>
  </si>
  <si>
    <t>1. 로그인 후 브라우저 개발자 도구 Application → Cookies 확인
 2. JavaScript에서 document.cookie 실행</t>
  </si>
  <si>
    <t>[Browser] access_token 쿠키에 HttpOnly 플래그 설정됨 / JavaScript document.cookie에서 access_token 미노출
 [Network] POST /api/auth/admin/login 응답 Set-Cookie 헤더에 HttpOnly 포함</t>
  </si>
  <si>
    <t>GET /api/admin/exams (쿠키 없이 직접 호출)</t>
  </si>
  <si>
    <t>SEC-02</t>
  </si>
  <si>
    <t>인증 없이 보호된 API 접근 시도 (Negative)</t>
  </si>
  <si>
    <t>1. 쿠키 없는 브라우저 상태 (또는 쿠키 수동 삭제)</t>
  </si>
  <si>
    <t>1. GET /api/admin/exams 를 쿠키 없이 호출</t>
  </si>
  <si>
    <t>[Network] GET /api/admin/exams → 401 / body.code='AUTH001' / body.message='JWT가 없습니다.'</t>
  </si>
  <si>
    <t>POST /api/admin/admin-numbers (ADMIN 토큰으로 직접 호출)</t>
  </si>
  <si>
    <t>SEC-03</t>
  </si>
  <si>
    <t>ADMIN 권한으로 MASTER 전용 엔드포인트 호출 (Negative)</t>
  </si>
  <si>
    <t>1. POST /api/admin/admin-numbers 또는 PATCH /api/admin/admin-numbers/{number} 직접 호출</t>
  </si>
  <si>
    <t>[Network] 403 / body.code='AUTH020' / body.message='MASTER 권한이 필요합니다.'</t>
  </si>
  <si>
    <t>POST /api/auth/admin/reissue (이전 refresh_token 재사용)</t>
  </si>
  <si>
    <t>SEC-04</t>
  </si>
  <si>
    <t>Refresh token rotation - 이전 refresh token 재사용 시도 (Negative)</t>
  </si>
  <si>
    <t>1. ADMIN 계정으로 로그인하여 refresh_token1 획득
 2. POST /api/auth/admin/reissue 호출하여 refresh_token2로 교체</t>
  </si>
  <si>
    <t>1. 교체 전 refresh_token1으로 다시 POST /api/auth/admin/reissue 직접 호출</t>
  </si>
  <si>
    <t>[Network] POST /api/auth/admin/reissue → 400 / body.code='AUTH007' / body.message='유효하지 않은 REFRESH TOKEN입니다.'
 [DB] Redis에서 refresh_token1 존재하지 않음</t>
  </si>
  <si>
    <t>GET /api/admin/exams (로그아웃 후 구 토큰으로 직접 호출)</t>
  </si>
  <si>
    <t>SEC-05</t>
  </si>
  <si>
    <t>로그아웃 후 블랙리스트된 access_token으로 API 호출 (Negative)</t>
  </si>
  <si>
    <t>1. ADMIN 계정 로그인
 2. 현재 access_token 값 복사
 3. 로그아웃 실행</t>
  </si>
  <si>
    <t>1. 로그아웃 이후 복사해둔 access_token을 Authorization: Bearer 헤더로 GET /api/admin/exams 호출</t>
  </si>
  <si>
    <t>[Network] GET /api/admin/exams → 401 (또는 403) / 블랙리스트 처리됨</t>
  </si>
  <si>
    <t>https://vibetest.codes/ → 비밀번호 변경 후 로그아웃</t>
  </si>
  <si>
    <t>SEC-06</t>
  </si>
  <si>
    <t>비밀번호 변경 후 구 비밀번호로 로그인 시도 (Negative)</t>
  </si>
  <si>
    <t>1. ADMIN 계정 존재
 2. ACCT-01 테스트 완료 후 비밀번호가 'NewPass1234!'로 변경된 상태</t>
  </si>
  <si>
    <t>1. 로그아웃
 2. 기존 비밀번호로 로그인 시도</t>
  </si>
  <si>
    <t>[UI] '아이디 또는 비밀번호가 일치하지 않습니다.' 오류 표시
 [Network] POST /api/auth/admin/login → 400 / body.code='AUTH009'</t>
  </si>
  <si>
    <t xml:space="preserve">DB 직접 조회	</t>
  </si>
  <si>
    <t>SEC-07</t>
  </si>
  <si>
    <t>감사 로그(AdminAuditLog) 기록 검증 (Positive)</t>
  </si>
  <si>
    <t>1. ADMIN 계정 로그인 상태
 2. admin_audit_logs 테이블 접근 가능</t>
  </si>
  <si>
    <t>1. 시험 시작 (POST /api/admin/exams/{id}/start)
 2. 입장 코드 생성
 3. admin_audit_logs 테이블 쿼리: SELECT * FROM admin_audit_logs ORDER BY created_at DESC LIMIT 5</t>
  </si>
  <si>
    <t>[DB] admin_audit_logs 테이블에 action='EXAM_START' / admin_id=로그인한 관리자 ID / details JSON에 examId 포함 row 존재</t>
  </si>
  <si>
    <t>DB 직접 실행</t>
  </si>
  <si>
    <t>SEC-08</t>
  </si>
  <si>
    <t>DB 유니크 제약 - 동일 이메일 중복 가입 방지 (Negative)</t>
  </si>
  <si>
    <t>1. admins 테이블에 'dup@test.com' 이메일 계정 존재</t>
  </si>
  <si>
    <t>1. DB에서 INSERT INTO admins(admin_number, email, password_hash, role) VALUES ('NEW001','dup@test.com','hash','ADMIN') 직접 실행</t>
  </si>
  <si>
    <t>[DB] unique constraint 오류 발생 / admins.email unique index 위반</t>
  </si>
  <si>
    <t>Redis CLI</t>
  </si>
  <si>
    <t>SEC-09</t>
  </si>
  <si>
    <t>Redis refresh token TTL 만료 검증 (Positive)</t>
  </si>
  <si>
    <t>1. ADMIN 계정 로그인 후 refresh_token 발급
 2. Redis CLI 접근 가능</t>
  </si>
  <si>
    <t>1. Redis CLI에서 KEYS refresh:* 실행
 2. TTL {key} 로 만료 시간 확인</t>
  </si>
  <si>
    <t>[DB] Redis에 refresh:{adminId} 키 존재 / TTL이 0 이상 (설정된 refresh token 유효기간 이하) / TTL이 정확히 jwtProperties.refreshTokenExpirationPeriodDay 값과 일치</t>
  </si>
  <si>
    <t>OPTIONS /api/admin/exams (허용되지 않은 Origin 헤더 포함)</t>
  </si>
  <si>
    <t>SEC-10</t>
  </si>
  <si>
    <t>허용되지 않은 Origin에서 API 호출 CORS 검증 (Negative)</t>
  </si>
  <si>
    <t>1. 서버 구동 상태
 2. CorsProperties에 허용된 origin 목록 확인</t>
  </si>
  <si>
    <t>1. 허용되지 않은 Origin(예: http://evil.com)에서 OPTIONS preflight 요청 전송
 2. GET /api/admin/exams 호출</t>
  </si>
  <si>
    <t>[Network] OPTIONS → 403 또는 응답 헤더에 Access-Control-Allow-Origin 미포함 / CORS 차단됨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</si>
</sst>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6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i/>
      <sz val="24.0"/>
      <color theme="1"/>
      <name val="Arial"/>
    </font>
    <font>
      <b/>
      <i/>
      <sz val="18.0"/>
      <color theme="1"/>
      <name val="Arial"/>
    </font>
    <font>
      <b/>
      <color theme="1"/>
      <name val="Arial"/>
    </font>
    <font>
      <b/>
      <color rgb="FF4A86E8"/>
      <name val="Arial"/>
    </font>
    <font>
      <b/>
      <color rgb="FFCC0000"/>
      <name val="Arial"/>
    </font>
    <font>
      <b/>
      <color rgb="FF8E7CC3"/>
      <name val="Arial"/>
    </font>
    <font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/>
    <font>
      <color rgb="FF4A86E8"/>
      <name val="Arial"/>
    </font>
    <font>
      <color rgb="FFCC0000"/>
      <name val="Arial"/>
    </font>
    <font>
      <color rgb="FF8E7CC3"/>
      <name val="Arial"/>
    </font>
    <font>
      <b/>
      <sz val="10.0"/>
      <color theme="1"/>
      <name val="Arial"/>
      <scheme val="minor"/>
    </font>
    <font>
      <b/>
      <sz val="9.0"/>
      <color theme="1"/>
      <name val="Arial"/>
    </font>
    <font>
      <b/>
      <u/>
      <sz val="10.0"/>
      <color rgb="FF0000FF"/>
    </font>
    <font>
      <sz val="9.0"/>
      <color theme="1"/>
      <name val="Arial"/>
    </font>
    <font>
      <sz val="11.0"/>
      <color rgb="FF000000"/>
      <name val="Calibri"/>
    </font>
    <font>
      <sz val="11.0"/>
      <color rgb="FF000000"/>
      <name val="&quot;Noto Sans CJK SC&quot;"/>
    </font>
    <font>
      <sz val="9.0"/>
      <color rgb="FF4A86E8"/>
      <name val="Arial"/>
    </font>
    <font>
      <color theme="1"/>
      <name val="Arial"/>
      <scheme val="minor"/>
    </font>
    <font>
      <b/>
      <u/>
      <sz val="10.0"/>
      <color rgb="FF0000FF"/>
    </font>
    <font>
      <b/>
      <u/>
      <sz val="10.0"/>
      <color rgb="FF0000FF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4" fillId="0" fontId="11" numFmtId="0" xfId="0" applyBorder="1" applyFont="1"/>
    <xf borderId="2" fillId="0" fontId="8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readingOrder="0" vertical="center"/>
    </xf>
    <xf borderId="6" fillId="3" fontId="15" numFmtId="0" xfId="0" applyAlignment="1" applyBorder="1" applyFill="1" applyFont="1">
      <alignment horizontal="center" readingOrder="0" vertical="center"/>
    </xf>
    <xf borderId="6" fillId="3" fontId="4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8" fillId="0" fontId="11" numFmtId="0" xfId="0" applyBorder="1" applyFont="1"/>
    <xf borderId="6" fillId="3" fontId="16" numFmtId="0" xfId="0" applyAlignment="1" applyBorder="1" applyFont="1">
      <alignment horizontal="center" readingOrder="0" shrinkToFit="0" vertical="center" wrapText="1"/>
    </xf>
    <xf borderId="6" fillId="4" fontId="16" numFmtId="0" xfId="0" applyAlignment="1" applyBorder="1" applyFill="1" applyFont="1">
      <alignment horizontal="center" shrinkToFit="0" vertical="center" wrapText="1"/>
    </xf>
    <xf borderId="6" fillId="4" fontId="16" numFmtId="0" xfId="0" applyAlignment="1" applyBorder="1" applyFont="1">
      <alignment horizontal="center" readingOrder="0" shrinkToFit="0" vertical="center" wrapText="1"/>
    </xf>
    <xf borderId="7" fillId="3" fontId="16" numFmtId="0" xfId="0" applyAlignment="1" applyBorder="1" applyFont="1">
      <alignment horizontal="center" shrinkToFit="0" vertical="center" wrapText="1"/>
    </xf>
    <xf borderId="9" fillId="0" fontId="11" numFmtId="0" xfId="0" applyBorder="1" applyFont="1"/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readingOrder="0" shrinkToFit="0" vertical="center" wrapText="0"/>
    </xf>
    <xf borderId="6" fillId="0" fontId="20" numFmtId="0" xfId="0" applyAlignment="1" applyBorder="1" applyFont="1">
      <alignment horizontal="center" readingOrder="0" shrinkToFit="0" vertical="center" wrapText="0"/>
    </xf>
    <xf borderId="6" fillId="0" fontId="19" numFmtId="0" xfId="0" applyAlignment="1" applyBorder="1" applyFont="1">
      <alignment horizontal="left" readingOrder="0" shrinkToFit="0" vertical="center" wrapText="0"/>
    </xf>
    <xf borderId="6" fillId="5" fontId="21" numFmtId="0" xfId="0" applyAlignment="1" applyBorder="1" applyFill="1" applyFont="1">
      <alignment horizontal="center" readingOrder="0" shrinkToFit="0" vertical="center" wrapText="1"/>
    </xf>
    <xf borderId="6" fillId="0" fontId="22" numFmtId="0" xfId="0" applyBorder="1" applyFont="1"/>
    <xf borderId="6" fillId="5" fontId="21" numFmtId="0" xfId="0" applyAlignment="1" applyBorder="1" applyFont="1">
      <alignment horizontal="center" shrinkToFit="0" vertical="center" wrapText="1"/>
    </xf>
    <xf borderId="7" fillId="5" fontId="8" numFmtId="0" xfId="0" applyAlignment="1" applyBorder="1" applyFont="1">
      <alignment vertical="center"/>
    </xf>
    <xf borderId="6" fillId="0" fontId="23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readingOrder="0" vertical="center"/>
    </xf>
    <xf borderId="7" fillId="5" fontId="8" numFmtId="0" xfId="0" applyAlignment="1" applyBorder="1" applyFont="1">
      <alignment readingOrder="0" vertical="center"/>
    </xf>
    <xf borderId="6" fillId="5" fontId="24" numFmtId="0" xfId="0" applyAlignment="1" applyBorder="1" applyFont="1">
      <alignment horizontal="center" readingOrder="0" shrinkToFit="0" vertical="center" wrapText="1"/>
    </xf>
    <xf borderId="6" fillId="5" fontId="25" numFmtId="0" xfId="0" applyAlignment="1" applyBorder="1" applyFon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vibetest.codes/" TargetMode="External"/><Relationship Id="rId22" Type="http://schemas.openxmlformats.org/officeDocument/2006/relationships/hyperlink" Target="https://vibetest.codes/admin/dashboard" TargetMode="External"/><Relationship Id="rId21" Type="http://schemas.openxmlformats.org/officeDocument/2006/relationships/hyperlink" Target="https://vibetest.codes/" TargetMode="External"/><Relationship Id="rId24" Type="http://schemas.openxmlformats.org/officeDocument/2006/relationships/hyperlink" Target="https://vibetest.codes/admin/problems" TargetMode="External"/><Relationship Id="rId23" Type="http://schemas.openxmlformats.org/officeDocument/2006/relationships/hyperlink" Target="https://vibetest.codes/admin/server-status" TargetMode="External"/><Relationship Id="rId1" Type="http://schemas.openxmlformats.org/officeDocument/2006/relationships/hyperlink" Target="https://vibetest.codes/" TargetMode="External"/><Relationship Id="rId2" Type="http://schemas.openxmlformats.org/officeDocument/2006/relationships/hyperlink" Target="https://vibetest.codes/" TargetMode="External"/><Relationship Id="rId3" Type="http://schemas.openxmlformats.org/officeDocument/2006/relationships/hyperlink" Target="https://vibetest.codes/" TargetMode="External"/><Relationship Id="rId4" Type="http://schemas.openxmlformats.org/officeDocument/2006/relationships/hyperlink" Target="https://vibetest.codes/" TargetMode="External"/><Relationship Id="rId9" Type="http://schemas.openxmlformats.org/officeDocument/2006/relationships/hyperlink" Target="https://vibetest.codes/admin-signup" TargetMode="External"/><Relationship Id="rId26" Type="http://schemas.openxmlformats.org/officeDocument/2006/relationships/hyperlink" Target="https://vibetest.codes/admin/problems" TargetMode="External"/><Relationship Id="rId25" Type="http://schemas.openxmlformats.org/officeDocument/2006/relationships/hyperlink" Target="https://vibetest.codes/admin/problems" TargetMode="External"/><Relationship Id="rId28" Type="http://schemas.openxmlformats.org/officeDocument/2006/relationships/hyperlink" Target="https://vibetest.codes/admin/settings" TargetMode="External"/><Relationship Id="rId27" Type="http://schemas.openxmlformats.org/officeDocument/2006/relationships/hyperlink" Target="https://vibetest.codes/admin/problems" TargetMode="External"/><Relationship Id="rId5" Type="http://schemas.openxmlformats.org/officeDocument/2006/relationships/hyperlink" Target="https://vibetest.codes/admin/dashboard" TargetMode="External"/><Relationship Id="rId6" Type="http://schemas.openxmlformats.org/officeDocument/2006/relationships/hyperlink" Target="https://vibetest.codes/admin-signup" TargetMode="External"/><Relationship Id="rId29" Type="http://schemas.openxmlformats.org/officeDocument/2006/relationships/hyperlink" Target="https://vibetest.codes/admin/settings" TargetMode="External"/><Relationship Id="rId7" Type="http://schemas.openxmlformats.org/officeDocument/2006/relationships/hyperlink" Target="https://vibetest.codes/admin-signup" TargetMode="External"/><Relationship Id="rId8" Type="http://schemas.openxmlformats.org/officeDocument/2006/relationships/hyperlink" Target="https://vibetest.codes/admin-signup" TargetMode="External"/><Relationship Id="rId31" Type="http://schemas.openxmlformats.org/officeDocument/2006/relationships/hyperlink" Target="https://vibetest.codes/master/admin-accounts" TargetMode="External"/><Relationship Id="rId30" Type="http://schemas.openxmlformats.org/officeDocument/2006/relationships/hyperlink" Target="https://vibetest.codes/master/admin-accounts" TargetMode="External"/><Relationship Id="rId11" Type="http://schemas.openxmlformats.org/officeDocument/2006/relationships/hyperlink" Target="https://vibetest.codes/admin/dashboard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vibetest.codes/admin/dashboard" TargetMode="External"/><Relationship Id="rId32" Type="http://schemas.openxmlformats.org/officeDocument/2006/relationships/hyperlink" Target="https://vibetest.codes/master/admin-accounts" TargetMode="External"/><Relationship Id="rId13" Type="http://schemas.openxmlformats.org/officeDocument/2006/relationships/hyperlink" Target="https://vibetest.codes/admin/dashboard" TargetMode="External"/><Relationship Id="rId12" Type="http://schemas.openxmlformats.org/officeDocument/2006/relationships/hyperlink" Target="https://vibetest.codes/admin/dashboard" TargetMode="External"/><Relationship Id="rId15" Type="http://schemas.openxmlformats.org/officeDocument/2006/relationships/hyperlink" Target="https://vibetest.codes/admin/entry-codes" TargetMode="External"/><Relationship Id="rId14" Type="http://schemas.openxmlformats.org/officeDocument/2006/relationships/hyperlink" Target="https://vibetest.codes/admin/dashboard" TargetMode="External"/><Relationship Id="rId17" Type="http://schemas.openxmlformats.org/officeDocument/2006/relationships/hyperlink" Target="https://vibetest.codes/admin/entry-codes" TargetMode="External"/><Relationship Id="rId16" Type="http://schemas.openxmlformats.org/officeDocument/2006/relationships/hyperlink" Target="https://vibetest.codes/admin/entry-codes" TargetMode="External"/><Relationship Id="rId19" Type="http://schemas.openxmlformats.org/officeDocument/2006/relationships/hyperlink" Target="https://vibetest.codes/" TargetMode="External"/><Relationship Id="rId18" Type="http://schemas.openxmlformats.org/officeDocument/2006/relationships/hyperlink" Target="https://vibetest.cod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4.5"/>
    <col customWidth="1" min="2" max="2" width="9.0"/>
    <col customWidth="1" min="3" max="3" width="9.88"/>
    <col customWidth="1" min="4" max="4" width="74.13"/>
    <col customWidth="1" min="5" max="5" width="80.25"/>
    <col customWidth="1" min="6" max="6" width="94.88"/>
    <col customWidth="1" min="7" max="7" width="108.13"/>
    <col customWidth="1" min="8" max="8" width="19.75"/>
  </cols>
  <sheetData>
    <row r="1">
      <c r="A1" s="1" t="s">
        <v>0</v>
      </c>
    </row>
    <row r="2">
      <c r="B2" s="2"/>
      <c r="C2" s="2"/>
      <c r="D2" s="2"/>
      <c r="E2" s="2"/>
      <c r="F2" s="2"/>
      <c r="G2" s="3"/>
      <c r="I2" s="4" t="s">
        <v>1</v>
      </c>
      <c r="J2" s="5" t="s">
        <v>2</v>
      </c>
      <c r="K2" s="6" t="s">
        <v>3</v>
      </c>
      <c r="L2" s="7" t="s">
        <v>4</v>
      </c>
      <c r="M2" s="8" t="s">
        <v>5</v>
      </c>
      <c r="N2" s="9" t="s">
        <v>6</v>
      </c>
      <c r="O2" s="9" t="s">
        <v>7</v>
      </c>
      <c r="P2" s="10"/>
      <c r="Q2" s="10"/>
    </row>
    <row r="3">
      <c r="A3" s="11"/>
      <c r="B3" s="2"/>
      <c r="C3" s="2"/>
      <c r="D3" s="2"/>
      <c r="E3" s="2"/>
      <c r="F3" s="2"/>
      <c r="G3" s="12"/>
      <c r="I3" s="13"/>
      <c r="J3" s="14">
        <f>count($B$7:$B950)</f>
        <v>51</v>
      </c>
      <c r="K3" s="15">
        <f>COUNTIF($I$7:$I950, "Pass")</f>
        <v>0</v>
      </c>
      <c r="L3" s="16">
        <f>COUNTIF($I$7:$I950, "Fail")</f>
        <v>0</v>
      </c>
      <c r="M3" s="17">
        <f>COUNTIF($I$7:$I950, "Block")</f>
        <v>0</v>
      </c>
      <c r="N3" s="18">
        <f>COUNTIF($I$7:$I950, "NI")</f>
        <v>0</v>
      </c>
      <c r="O3" s="19">
        <f>K3/(J3-N3)</f>
        <v>0</v>
      </c>
      <c r="P3" s="10"/>
      <c r="Q3" s="10"/>
    </row>
    <row r="4">
      <c r="A4" s="11"/>
      <c r="B4" s="20"/>
      <c r="C4" s="20"/>
      <c r="D4" s="20"/>
      <c r="E4" s="10"/>
      <c r="F4" s="10"/>
      <c r="G4" s="20"/>
      <c r="I4" s="10"/>
      <c r="J4" s="10"/>
      <c r="K4" s="10"/>
      <c r="L4" s="10"/>
      <c r="M4" s="10"/>
      <c r="N4" s="10"/>
      <c r="O4" s="10"/>
      <c r="P4" s="10"/>
      <c r="Q4" s="10"/>
    </row>
    <row r="5">
      <c r="A5" s="11"/>
      <c r="B5" s="20"/>
      <c r="C5" s="20"/>
      <c r="D5" s="20"/>
      <c r="E5" s="10"/>
      <c r="F5" s="10"/>
      <c r="G5" s="20"/>
      <c r="I5" s="10"/>
      <c r="J5" s="10"/>
      <c r="K5" s="10"/>
      <c r="L5" s="10"/>
      <c r="M5" s="10"/>
      <c r="N5" s="10"/>
      <c r="O5" s="10"/>
      <c r="P5" s="10"/>
      <c r="Q5" s="10"/>
    </row>
    <row r="6">
      <c r="A6" s="21" t="s">
        <v>8</v>
      </c>
      <c r="B6" s="22" t="s">
        <v>9</v>
      </c>
      <c r="C6" s="22" t="s">
        <v>10</v>
      </c>
      <c r="D6" s="23" t="s">
        <v>11</v>
      </c>
      <c r="E6" s="24"/>
      <c r="F6" s="22" t="s">
        <v>12</v>
      </c>
      <c r="G6" s="22" t="s">
        <v>13</v>
      </c>
      <c r="H6" s="25" t="s">
        <v>14</v>
      </c>
      <c r="I6" s="26" t="s">
        <v>15</v>
      </c>
      <c r="J6" s="27" t="s">
        <v>16</v>
      </c>
      <c r="K6" s="27" t="s">
        <v>16</v>
      </c>
      <c r="L6" s="27" t="s">
        <v>16</v>
      </c>
      <c r="M6" s="27" t="s">
        <v>16</v>
      </c>
      <c r="N6" s="28" t="s">
        <v>17</v>
      </c>
      <c r="O6" s="29"/>
      <c r="P6" s="29"/>
      <c r="Q6" s="24"/>
    </row>
    <row r="7">
      <c r="A7" s="30" t="s">
        <v>18</v>
      </c>
      <c r="B7" s="31">
        <f t="shared" ref="B7:B52" si="1">row()-6</f>
        <v>1</v>
      </c>
      <c r="C7" s="32" t="s">
        <v>19</v>
      </c>
      <c r="D7" s="33" t="s">
        <v>20</v>
      </c>
      <c r="E7" s="32" t="s">
        <v>21</v>
      </c>
      <c r="F7" s="34" t="s">
        <v>22</v>
      </c>
      <c r="G7" s="34" t="s">
        <v>23</v>
      </c>
      <c r="H7" s="33" t="s">
        <v>24</v>
      </c>
      <c r="I7" s="35"/>
      <c r="J7" s="35" t="s">
        <v>25</v>
      </c>
      <c r="K7" s="36"/>
      <c r="L7" s="37"/>
      <c r="M7" s="37"/>
      <c r="N7" s="38"/>
      <c r="O7" s="29"/>
      <c r="P7" s="29"/>
      <c r="Q7" s="24"/>
    </row>
    <row r="8">
      <c r="A8" s="30" t="s">
        <v>18</v>
      </c>
      <c r="B8" s="31">
        <f t="shared" si="1"/>
        <v>2</v>
      </c>
      <c r="C8" s="32" t="s">
        <v>26</v>
      </c>
      <c r="D8" s="32" t="s">
        <v>27</v>
      </c>
      <c r="E8" s="32" t="s">
        <v>28</v>
      </c>
      <c r="F8" s="34" t="s">
        <v>29</v>
      </c>
      <c r="G8" s="34" t="s">
        <v>30</v>
      </c>
      <c r="H8" s="33" t="s">
        <v>24</v>
      </c>
      <c r="I8" s="35"/>
      <c r="J8" s="35"/>
      <c r="K8" s="35"/>
      <c r="L8" s="37"/>
      <c r="M8" s="37"/>
      <c r="N8" s="38"/>
      <c r="O8" s="29"/>
      <c r="P8" s="29"/>
      <c r="Q8" s="24"/>
    </row>
    <row r="9">
      <c r="A9" s="30" t="s">
        <v>18</v>
      </c>
      <c r="B9" s="31">
        <f t="shared" si="1"/>
        <v>3</v>
      </c>
      <c r="C9" s="32" t="s">
        <v>31</v>
      </c>
      <c r="D9" s="33" t="s">
        <v>32</v>
      </c>
      <c r="E9" s="32" t="s">
        <v>33</v>
      </c>
      <c r="F9" s="34" t="s">
        <v>34</v>
      </c>
      <c r="G9" s="34" t="s">
        <v>35</v>
      </c>
      <c r="H9" s="33" t="s">
        <v>24</v>
      </c>
      <c r="I9" s="37"/>
      <c r="J9" s="35"/>
      <c r="K9" s="35"/>
      <c r="L9" s="37"/>
      <c r="M9" s="37"/>
      <c r="N9" s="38"/>
      <c r="O9" s="29"/>
      <c r="P9" s="29"/>
      <c r="Q9" s="24"/>
    </row>
    <row r="10">
      <c r="A10" s="30" t="s">
        <v>18</v>
      </c>
      <c r="B10" s="31">
        <f t="shared" si="1"/>
        <v>4</v>
      </c>
      <c r="C10" s="32" t="s">
        <v>36</v>
      </c>
      <c r="D10" s="33" t="s">
        <v>37</v>
      </c>
      <c r="E10" s="32" t="s">
        <v>38</v>
      </c>
      <c r="F10" s="34" t="s">
        <v>39</v>
      </c>
      <c r="G10" s="34" t="s">
        <v>40</v>
      </c>
      <c r="H10" s="33" t="s">
        <v>41</v>
      </c>
      <c r="I10" s="35"/>
      <c r="J10" s="35"/>
      <c r="K10" s="36"/>
      <c r="L10" s="37"/>
      <c r="M10" s="37"/>
      <c r="N10" s="38"/>
      <c r="O10" s="29"/>
      <c r="P10" s="29"/>
      <c r="Q10" s="24"/>
    </row>
    <row r="11">
      <c r="A11" s="39" t="s">
        <v>42</v>
      </c>
      <c r="B11" s="31">
        <f t="shared" si="1"/>
        <v>5</v>
      </c>
      <c r="C11" s="32" t="s">
        <v>43</v>
      </c>
      <c r="D11" s="33" t="s">
        <v>44</v>
      </c>
      <c r="E11" s="32" t="s">
        <v>45</v>
      </c>
      <c r="F11" s="34" t="s">
        <v>46</v>
      </c>
      <c r="G11" s="34" t="s">
        <v>47</v>
      </c>
      <c r="H11" s="33" t="s">
        <v>41</v>
      </c>
      <c r="I11" s="35"/>
      <c r="J11" s="35"/>
      <c r="K11" s="35"/>
      <c r="L11" s="37"/>
      <c r="M11" s="37"/>
      <c r="N11" s="38"/>
      <c r="O11" s="29"/>
      <c r="P11" s="29"/>
      <c r="Q11" s="24"/>
    </row>
    <row r="12">
      <c r="A12" s="40" t="s">
        <v>48</v>
      </c>
      <c r="B12" s="31">
        <f t="shared" si="1"/>
        <v>6</v>
      </c>
      <c r="C12" s="32" t="s">
        <v>49</v>
      </c>
      <c r="D12" s="32" t="s">
        <v>50</v>
      </c>
      <c r="E12" s="32" t="s">
        <v>51</v>
      </c>
      <c r="F12" s="34" t="s">
        <v>52</v>
      </c>
      <c r="G12" s="34" t="s">
        <v>53</v>
      </c>
      <c r="H12" s="33" t="s">
        <v>54</v>
      </c>
      <c r="I12" s="35"/>
      <c r="J12" s="35"/>
      <c r="K12" s="35"/>
      <c r="L12" s="37"/>
      <c r="M12" s="37"/>
      <c r="N12" s="41"/>
      <c r="O12" s="29"/>
      <c r="P12" s="29"/>
      <c r="Q12" s="24"/>
    </row>
    <row r="13">
      <c r="A13" s="40" t="s">
        <v>48</v>
      </c>
      <c r="B13" s="31">
        <f t="shared" si="1"/>
        <v>7</v>
      </c>
      <c r="C13" s="32" t="s">
        <v>55</v>
      </c>
      <c r="D13" s="33" t="s">
        <v>56</v>
      </c>
      <c r="E13" s="32" t="s">
        <v>57</v>
      </c>
      <c r="F13" s="34" t="s">
        <v>58</v>
      </c>
      <c r="G13" s="34" t="s">
        <v>59</v>
      </c>
      <c r="H13" s="33" t="s">
        <v>54</v>
      </c>
      <c r="I13" s="35"/>
      <c r="J13" s="35"/>
      <c r="K13" s="36"/>
      <c r="L13" s="37"/>
      <c r="M13" s="37"/>
      <c r="N13" s="38"/>
      <c r="O13" s="29"/>
      <c r="P13" s="29"/>
      <c r="Q13" s="24"/>
    </row>
    <row r="14">
      <c r="A14" s="30" t="s">
        <v>60</v>
      </c>
      <c r="B14" s="31">
        <f t="shared" si="1"/>
        <v>8</v>
      </c>
      <c r="C14" s="32" t="s">
        <v>61</v>
      </c>
      <c r="D14" s="33" t="s">
        <v>62</v>
      </c>
      <c r="E14" s="32" t="s">
        <v>63</v>
      </c>
      <c r="F14" s="34" t="s">
        <v>64</v>
      </c>
      <c r="G14" s="34" t="s">
        <v>65</v>
      </c>
      <c r="H14" s="33" t="s">
        <v>41</v>
      </c>
      <c r="I14" s="35"/>
      <c r="J14" s="35"/>
      <c r="K14" s="35"/>
      <c r="L14" s="37"/>
      <c r="M14" s="37"/>
      <c r="N14" s="41"/>
      <c r="O14" s="29"/>
      <c r="P14" s="29"/>
      <c r="Q14" s="24"/>
    </row>
    <row r="15">
      <c r="A15" s="30" t="s">
        <v>60</v>
      </c>
      <c r="B15" s="31">
        <f t="shared" si="1"/>
        <v>9</v>
      </c>
      <c r="C15" s="32" t="s">
        <v>66</v>
      </c>
      <c r="D15" s="33" t="s">
        <v>67</v>
      </c>
      <c r="E15" s="32" t="s">
        <v>68</v>
      </c>
      <c r="F15" s="34" t="s">
        <v>69</v>
      </c>
      <c r="G15" s="34" t="s">
        <v>70</v>
      </c>
      <c r="H15" s="33" t="s">
        <v>24</v>
      </c>
      <c r="I15" s="35"/>
      <c r="J15" s="35"/>
      <c r="K15" s="35"/>
      <c r="L15" s="37"/>
      <c r="M15" s="37"/>
      <c r="N15" s="38"/>
      <c r="O15" s="29"/>
      <c r="P15" s="29"/>
      <c r="Q15" s="24"/>
    </row>
    <row r="16">
      <c r="A16" s="30" t="s">
        <v>60</v>
      </c>
      <c r="B16" s="31">
        <f t="shared" si="1"/>
        <v>10</v>
      </c>
      <c r="C16" s="32" t="s">
        <v>71</v>
      </c>
      <c r="D16" s="33" t="s">
        <v>72</v>
      </c>
      <c r="E16" s="32" t="s">
        <v>73</v>
      </c>
      <c r="F16" s="34" t="s">
        <v>74</v>
      </c>
      <c r="G16" s="34" t="s">
        <v>75</v>
      </c>
      <c r="H16" s="33" t="s">
        <v>41</v>
      </c>
      <c r="I16" s="35"/>
      <c r="J16" s="35"/>
      <c r="K16" s="36"/>
      <c r="L16" s="37"/>
      <c r="M16" s="37"/>
      <c r="N16" s="38"/>
      <c r="O16" s="29"/>
      <c r="P16" s="29"/>
      <c r="Q16" s="24"/>
    </row>
    <row r="17">
      <c r="A17" s="30" t="s">
        <v>60</v>
      </c>
      <c r="B17" s="31">
        <f t="shared" si="1"/>
        <v>11</v>
      </c>
      <c r="C17" s="32" t="s">
        <v>76</v>
      </c>
      <c r="D17" s="33" t="s">
        <v>77</v>
      </c>
      <c r="E17" s="32" t="s">
        <v>78</v>
      </c>
      <c r="F17" s="34" t="s">
        <v>79</v>
      </c>
      <c r="G17" s="34" t="s">
        <v>80</v>
      </c>
      <c r="H17" s="33" t="s">
        <v>41</v>
      </c>
      <c r="I17" s="35"/>
      <c r="J17" s="35"/>
      <c r="K17" s="35"/>
      <c r="L17" s="37"/>
      <c r="M17" s="37"/>
      <c r="N17" s="38"/>
      <c r="O17" s="29"/>
      <c r="P17" s="29"/>
      <c r="Q17" s="24"/>
    </row>
    <row r="18">
      <c r="A18" s="30" t="s">
        <v>42</v>
      </c>
      <c r="B18" s="31">
        <f t="shared" si="1"/>
        <v>12</v>
      </c>
      <c r="C18" s="32" t="s">
        <v>81</v>
      </c>
      <c r="D18" s="33" t="s">
        <v>82</v>
      </c>
      <c r="E18" s="32" t="s">
        <v>83</v>
      </c>
      <c r="F18" s="34" t="s">
        <v>84</v>
      </c>
      <c r="G18" s="34" t="s">
        <v>85</v>
      </c>
      <c r="H18" s="33" t="s">
        <v>24</v>
      </c>
      <c r="I18" s="35"/>
      <c r="J18" s="35"/>
      <c r="K18" s="36"/>
      <c r="L18" s="37"/>
      <c r="M18" s="37"/>
      <c r="N18" s="38"/>
      <c r="O18" s="29"/>
      <c r="P18" s="29"/>
      <c r="Q18" s="24"/>
    </row>
    <row r="19">
      <c r="A19" s="30" t="s">
        <v>42</v>
      </c>
      <c r="B19" s="31">
        <f t="shared" si="1"/>
        <v>13</v>
      </c>
      <c r="C19" s="32" t="s">
        <v>86</v>
      </c>
      <c r="D19" s="33" t="s">
        <v>87</v>
      </c>
      <c r="E19" s="32" t="s">
        <v>88</v>
      </c>
      <c r="F19" s="34" t="s">
        <v>89</v>
      </c>
      <c r="G19" s="34" t="s">
        <v>90</v>
      </c>
      <c r="H19" s="33" t="s">
        <v>24</v>
      </c>
      <c r="I19" s="35"/>
      <c r="J19" s="35"/>
      <c r="K19" s="35"/>
      <c r="L19" s="37"/>
      <c r="M19" s="37"/>
      <c r="N19" s="38"/>
      <c r="O19" s="29"/>
      <c r="P19" s="29"/>
      <c r="Q19" s="24"/>
    </row>
    <row r="20">
      <c r="A20" s="30" t="s">
        <v>42</v>
      </c>
      <c r="B20" s="31">
        <f t="shared" si="1"/>
        <v>14</v>
      </c>
      <c r="C20" s="32" t="s">
        <v>91</v>
      </c>
      <c r="D20" s="32" t="s">
        <v>92</v>
      </c>
      <c r="E20" s="32" t="s">
        <v>93</v>
      </c>
      <c r="F20" s="34" t="s">
        <v>94</v>
      </c>
      <c r="G20" s="34" t="s">
        <v>95</v>
      </c>
      <c r="H20" s="33" t="s">
        <v>24</v>
      </c>
      <c r="I20" s="35"/>
      <c r="J20" s="35"/>
      <c r="K20" s="35"/>
      <c r="L20" s="37"/>
      <c r="M20" s="37"/>
      <c r="N20" s="38"/>
      <c r="O20" s="29"/>
      <c r="P20" s="29"/>
      <c r="Q20" s="24"/>
    </row>
    <row r="21">
      <c r="A21" s="30" t="s">
        <v>42</v>
      </c>
      <c r="B21" s="31">
        <f t="shared" si="1"/>
        <v>15</v>
      </c>
      <c r="C21" s="32" t="s">
        <v>96</v>
      </c>
      <c r="D21" s="32" t="s">
        <v>97</v>
      </c>
      <c r="E21" s="32" t="s">
        <v>98</v>
      </c>
      <c r="F21" s="34" t="s">
        <v>99</v>
      </c>
      <c r="G21" s="34" t="s">
        <v>100</v>
      </c>
      <c r="H21" s="33" t="s">
        <v>24</v>
      </c>
      <c r="I21" s="35"/>
      <c r="J21" s="35"/>
      <c r="K21" s="35"/>
      <c r="L21" s="37"/>
      <c r="M21" s="37"/>
      <c r="N21" s="38"/>
      <c r="O21" s="29"/>
      <c r="P21" s="29"/>
      <c r="Q21" s="24"/>
    </row>
    <row r="22">
      <c r="A22" s="30" t="s">
        <v>42</v>
      </c>
      <c r="B22" s="31">
        <f t="shared" si="1"/>
        <v>16</v>
      </c>
      <c r="C22" s="32" t="s">
        <v>101</v>
      </c>
      <c r="D22" s="32" t="s">
        <v>102</v>
      </c>
      <c r="E22" s="32" t="s">
        <v>103</v>
      </c>
      <c r="F22" s="34" t="s">
        <v>104</v>
      </c>
      <c r="G22" s="34" t="s">
        <v>105</v>
      </c>
      <c r="H22" s="33" t="s">
        <v>41</v>
      </c>
      <c r="I22" s="35"/>
      <c r="J22" s="35"/>
      <c r="K22" s="35"/>
      <c r="L22" s="37"/>
      <c r="M22" s="37"/>
      <c r="N22" s="38"/>
      <c r="O22" s="29"/>
      <c r="P22" s="29"/>
      <c r="Q22" s="24"/>
    </row>
    <row r="23">
      <c r="A23" s="40" t="s">
        <v>106</v>
      </c>
      <c r="B23" s="31">
        <f t="shared" si="1"/>
        <v>17</v>
      </c>
      <c r="C23" s="32" t="s">
        <v>107</v>
      </c>
      <c r="D23" s="33" t="s">
        <v>108</v>
      </c>
      <c r="E23" s="32" t="s">
        <v>109</v>
      </c>
      <c r="F23" s="34" t="s">
        <v>110</v>
      </c>
      <c r="G23" s="34" t="s">
        <v>111</v>
      </c>
      <c r="H23" s="33" t="s">
        <v>54</v>
      </c>
      <c r="I23" s="35"/>
      <c r="J23" s="35"/>
      <c r="K23" s="35"/>
      <c r="L23" s="37"/>
      <c r="M23" s="37"/>
      <c r="N23" s="41"/>
      <c r="O23" s="29"/>
      <c r="P23" s="29"/>
      <c r="Q23" s="24"/>
    </row>
    <row r="24">
      <c r="A24" s="40" t="s">
        <v>112</v>
      </c>
      <c r="B24" s="31">
        <f t="shared" si="1"/>
        <v>18</v>
      </c>
      <c r="C24" s="32" t="s">
        <v>113</v>
      </c>
      <c r="D24" s="32" t="s">
        <v>114</v>
      </c>
      <c r="E24" s="32" t="s">
        <v>115</v>
      </c>
      <c r="F24" s="34" t="s">
        <v>116</v>
      </c>
      <c r="G24" s="34" t="s">
        <v>117</v>
      </c>
      <c r="H24" s="33" t="s">
        <v>54</v>
      </c>
      <c r="I24" s="35"/>
      <c r="J24" s="35"/>
      <c r="K24" s="35"/>
      <c r="L24" s="37"/>
      <c r="M24" s="37"/>
      <c r="N24" s="38"/>
      <c r="O24" s="29"/>
      <c r="P24" s="29"/>
      <c r="Q24" s="24"/>
    </row>
    <row r="25">
      <c r="A25" s="40" t="s">
        <v>118</v>
      </c>
      <c r="B25" s="31">
        <f t="shared" si="1"/>
        <v>19</v>
      </c>
      <c r="C25" s="32" t="s">
        <v>119</v>
      </c>
      <c r="D25" s="32" t="s">
        <v>120</v>
      </c>
      <c r="E25" s="32" t="s">
        <v>121</v>
      </c>
      <c r="F25" s="34" t="s">
        <v>122</v>
      </c>
      <c r="G25" s="34" t="s">
        <v>123</v>
      </c>
      <c r="H25" s="33" t="s">
        <v>54</v>
      </c>
      <c r="I25" s="35"/>
      <c r="J25" s="35"/>
      <c r="K25" s="35"/>
      <c r="L25" s="37"/>
      <c r="M25" s="37"/>
      <c r="N25" s="38"/>
      <c r="O25" s="29"/>
      <c r="P25" s="29"/>
      <c r="Q25" s="24"/>
    </row>
    <row r="26">
      <c r="A26" s="40" t="s">
        <v>124</v>
      </c>
      <c r="B26" s="31">
        <f t="shared" si="1"/>
        <v>20</v>
      </c>
      <c r="C26" s="32" t="s">
        <v>125</v>
      </c>
      <c r="D26" s="33" t="s">
        <v>126</v>
      </c>
      <c r="E26" s="32" t="s">
        <v>88</v>
      </c>
      <c r="F26" s="34" t="s">
        <v>127</v>
      </c>
      <c r="G26" s="34" t="s">
        <v>128</v>
      </c>
      <c r="H26" s="33" t="s">
        <v>54</v>
      </c>
      <c r="I26" s="35"/>
      <c r="J26" s="35"/>
      <c r="K26" s="35"/>
      <c r="L26" s="37"/>
      <c r="M26" s="37"/>
      <c r="N26" s="38"/>
      <c r="O26" s="29"/>
      <c r="P26" s="29"/>
      <c r="Q26" s="24"/>
    </row>
    <row r="27">
      <c r="A27" s="30" t="s">
        <v>129</v>
      </c>
      <c r="B27" s="31">
        <f t="shared" si="1"/>
        <v>21</v>
      </c>
      <c r="C27" s="32" t="s">
        <v>130</v>
      </c>
      <c r="D27" s="33" t="s">
        <v>131</v>
      </c>
      <c r="E27" s="32" t="s">
        <v>115</v>
      </c>
      <c r="F27" s="34" t="s">
        <v>132</v>
      </c>
      <c r="G27" s="34" t="s">
        <v>133</v>
      </c>
      <c r="H27" s="33" t="s">
        <v>24</v>
      </c>
      <c r="I27" s="35"/>
      <c r="J27" s="35"/>
      <c r="K27" s="35"/>
      <c r="L27" s="37"/>
      <c r="M27" s="37"/>
      <c r="N27" s="41"/>
      <c r="O27" s="29"/>
      <c r="P27" s="29"/>
      <c r="Q27" s="24"/>
    </row>
    <row r="28">
      <c r="A28" s="30" t="s">
        <v>129</v>
      </c>
      <c r="B28" s="31">
        <f t="shared" si="1"/>
        <v>22</v>
      </c>
      <c r="C28" s="32" t="s">
        <v>134</v>
      </c>
      <c r="D28" s="33" t="s">
        <v>135</v>
      </c>
      <c r="E28" s="32" t="s">
        <v>88</v>
      </c>
      <c r="F28" s="34" t="s">
        <v>136</v>
      </c>
      <c r="G28" s="34" t="s">
        <v>137</v>
      </c>
      <c r="H28" s="33" t="s">
        <v>24</v>
      </c>
      <c r="I28" s="35"/>
      <c r="J28" s="35"/>
      <c r="K28" s="35"/>
      <c r="L28" s="37"/>
      <c r="M28" s="37"/>
      <c r="N28" s="38"/>
      <c r="O28" s="29"/>
      <c r="P28" s="29"/>
      <c r="Q28" s="24"/>
    </row>
    <row r="29">
      <c r="A29" s="30" t="s">
        <v>129</v>
      </c>
      <c r="B29" s="31">
        <f t="shared" si="1"/>
        <v>23</v>
      </c>
      <c r="C29" s="32" t="s">
        <v>138</v>
      </c>
      <c r="D29" s="33" t="s">
        <v>139</v>
      </c>
      <c r="E29" s="32" t="s">
        <v>140</v>
      </c>
      <c r="F29" s="34" t="s">
        <v>141</v>
      </c>
      <c r="G29" s="34" t="s">
        <v>142</v>
      </c>
      <c r="H29" s="33" t="s">
        <v>24</v>
      </c>
      <c r="I29" s="35"/>
      <c r="J29" s="35"/>
      <c r="K29" s="35"/>
      <c r="L29" s="37"/>
      <c r="M29" s="37"/>
      <c r="N29" s="38"/>
      <c r="O29" s="29"/>
      <c r="P29" s="29"/>
      <c r="Q29" s="24"/>
    </row>
    <row r="30">
      <c r="A30" s="30" t="s">
        <v>18</v>
      </c>
      <c r="B30" s="31">
        <f t="shared" si="1"/>
        <v>24</v>
      </c>
      <c r="C30" s="32" t="s">
        <v>143</v>
      </c>
      <c r="D30" s="33" t="s">
        <v>144</v>
      </c>
      <c r="E30" s="32" t="s">
        <v>145</v>
      </c>
      <c r="F30" s="34" t="s">
        <v>146</v>
      </c>
      <c r="G30" s="34" t="s">
        <v>147</v>
      </c>
      <c r="H30" s="33" t="s">
        <v>24</v>
      </c>
      <c r="I30" s="35"/>
      <c r="J30" s="35"/>
      <c r="K30" s="35"/>
      <c r="L30" s="37"/>
      <c r="M30" s="37"/>
      <c r="N30" s="38"/>
      <c r="O30" s="29"/>
      <c r="P30" s="29"/>
      <c r="Q30" s="24"/>
    </row>
    <row r="31">
      <c r="A31" s="30" t="s">
        <v>18</v>
      </c>
      <c r="B31" s="31">
        <f t="shared" si="1"/>
        <v>25</v>
      </c>
      <c r="C31" s="32" t="s">
        <v>148</v>
      </c>
      <c r="D31" s="32" t="s">
        <v>149</v>
      </c>
      <c r="E31" s="32" t="s">
        <v>150</v>
      </c>
      <c r="F31" s="34" t="s">
        <v>151</v>
      </c>
      <c r="G31" s="34" t="s">
        <v>152</v>
      </c>
      <c r="H31" s="33" t="s">
        <v>41</v>
      </c>
      <c r="I31" s="35"/>
      <c r="J31" s="35"/>
      <c r="K31" s="35"/>
      <c r="L31" s="37"/>
      <c r="M31" s="37"/>
      <c r="N31" s="38"/>
      <c r="O31" s="29"/>
      <c r="P31" s="29"/>
      <c r="Q31" s="24"/>
    </row>
    <row r="32">
      <c r="A32" s="30" t="s">
        <v>18</v>
      </c>
      <c r="B32" s="31">
        <f t="shared" si="1"/>
        <v>26</v>
      </c>
      <c r="C32" s="32" t="s">
        <v>153</v>
      </c>
      <c r="D32" s="33" t="s">
        <v>154</v>
      </c>
      <c r="E32" s="32" t="s">
        <v>155</v>
      </c>
      <c r="F32" s="34" t="s">
        <v>156</v>
      </c>
      <c r="G32" s="34" t="s">
        <v>157</v>
      </c>
      <c r="H32" s="33" t="s">
        <v>54</v>
      </c>
      <c r="I32" s="35"/>
      <c r="J32" s="35"/>
      <c r="K32" s="35"/>
      <c r="L32" s="37"/>
      <c r="M32" s="37"/>
      <c r="N32" s="38"/>
      <c r="O32" s="29"/>
      <c r="P32" s="29"/>
      <c r="Q32" s="24"/>
    </row>
    <row r="33">
      <c r="A33" s="30" t="s">
        <v>18</v>
      </c>
      <c r="B33" s="31">
        <f t="shared" si="1"/>
        <v>27</v>
      </c>
      <c r="C33" s="32" t="s">
        <v>158</v>
      </c>
      <c r="D33" s="33" t="s">
        <v>159</v>
      </c>
      <c r="E33" s="32" t="s">
        <v>160</v>
      </c>
      <c r="F33" s="34" t="s">
        <v>161</v>
      </c>
      <c r="G33" s="34" t="s">
        <v>162</v>
      </c>
      <c r="H33" s="33" t="s">
        <v>54</v>
      </c>
      <c r="I33" s="35"/>
      <c r="J33" s="35"/>
      <c r="K33" s="35"/>
      <c r="L33" s="37"/>
      <c r="M33" s="37"/>
      <c r="N33" s="38"/>
      <c r="O33" s="29"/>
      <c r="P33" s="29"/>
      <c r="Q33" s="24"/>
    </row>
    <row r="34">
      <c r="A34" s="30" t="s">
        <v>42</v>
      </c>
      <c r="B34" s="31">
        <f t="shared" si="1"/>
        <v>28</v>
      </c>
      <c r="C34" s="32" t="s">
        <v>163</v>
      </c>
      <c r="D34" s="33" t="s">
        <v>164</v>
      </c>
      <c r="E34" s="32" t="s">
        <v>165</v>
      </c>
      <c r="F34" s="34" t="s">
        <v>166</v>
      </c>
      <c r="G34" s="34" t="s">
        <v>167</v>
      </c>
      <c r="H34" s="33" t="s">
        <v>24</v>
      </c>
      <c r="I34" s="35"/>
      <c r="J34" s="35"/>
      <c r="K34" s="35"/>
      <c r="L34" s="37"/>
      <c r="M34" s="37"/>
      <c r="N34" s="38"/>
      <c r="O34" s="29"/>
      <c r="P34" s="29"/>
      <c r="Q34" s="24"/>
    </row>
    <row r="35">
      <c r="A35" s="42" t="s">
        <v>168</v>
      </c>
      <c r="B35" s="31">
        <f t="shared" si="1"/>
        <v>29</v>
      </c>
      <c r="C35" s="32" t="s">
        <v>169</v>
      </c>
      <c r="D35" s="33" t="s">
        <v>170</v>
      </c>
      <c r="E35" s="32" t="s">
        <v>171</v>
      </c>
      <c r="F35" s="34" t="s">
        <v>172</v>
      </c>
      <c r="G35" s="34" t="s">
        <v>173</v>
      </c>
      <c r="H35" s="33" t="s">
        <v>24</v>
      </c>
      <c r="I35" s="35"/>
      <c r="J35" s="35"/>
      <c r="K35" s="35"/>
      <c r="L35" s="37"/>
      <c r="M35" s="37"/>
      <c r="N35" s="38"/>
      <c r="O35" s="29"/>
      <c r="P35" s="29"/>
      <c r="Q35" s="24"/>
    </row>
    <row r="36">
      <c r="A36" s="42" t="s">
        <v>174</v>
      </c>
      <c r="B36" s="31">
        <f t="shared" si="1"/>
        <v>30</v>
      </c>
      <c r="C36" s="32" t="s">
        <v>175</v>
      </c>
      <c r="D36" s="33" t="s">
        <v>176</v>
      </c>
      <c r="E36" s="32" t="s">
        <v>88</v>
      </c>
      <c r="F36" s="34" t="s">
        <v>177</v>
      </c>
      <c r="G36" s="34" t="s">
        <v>178</v>
      </c>
      <c r="H36" s="33" t="s">
        <v>24</v>
      </c>
      <c r="I36" s="35"/>
      <c r="J36" s="35"/>
      <c r="K36" s="35"/>
      <c r="L36" s="37"/>
      <c r="M36" s="37"/>
      <c r="N36" s="38"/>
      <c r="O36" s="29"/>
      <c r="P36" s="29"/>
      <c r="Q36" s="24"/>
    </row>
    <row r="37">
      <c r="A37" s="42" t="s">
        <v>174</v>
      </c>
      <c r="B37" s="31">
        <f t="shared" si="1"/>
        <v>31</v>
      </c>
      <c r="C37" s="32" t="s">
        <v>179</v>
      </c>
      <c r="D37" s="33" t="s">
        <v>180</v>
      </c>
      <c r="E37" s="32" t="s">
        <v>88</v>
      </c>
      <c r="F37" s="34" t="s">
        <v>181</v>
      </c>
      <c r="G37" s="34" t="s">
        <v>182</v>
      </c>
      <c r="H37" s="33" t="s">
        <v>24</v>
      </c>
      <c r="I37" s="35"/>
      <c r="J37" s="35"/>
      <c r="K37" s="35"/>
      <c r="L37" s="37"/>
      <c r="M37" s="37"/>
      <c r="N37" s="38"/>
      <c r="O37" s="29"/>
      <c r="P37" s="29"/>
      <c r="Q37" s="24"/>
    </row>
    <row r="38">
      <c r="A38" s="42" t="s">
        <v>174</v>
      </c>
      <c r="B38" s="31">
        <f t="shared" si="1"/>
        <v>32</v>
      </c>
      <c r="C38" s="32" t="s">
        <v>183</v>
      </c>
      <c r="D38" s="32" t="s">
        <v>184</v>
      </c>
      <c r="E38" s="32" t="s">
        <v>88</v>
      </c>
      <c r="F38" s="34" t="s">
        <v>185</v>
      </c>
      <c r="G38" s="34" t="s">
        <v>186</v>
      </c>
      <c r="H38" s="33" t="s">
        <v>24</v>
      </c>
      <c r="I38" s="35"/>
      <c r="J38" s="35"/>
      <c r="K38" s="35"/>
      <c r="L38" s="37"/>
      <c r="M38" s="37"/>
      <c r="N38" s="38"/>
      <c r="O38" s="29"/>
      <c r="P38" s="29"/>
      <c r="Q38" s="24"/>
    </row>
    <row r="39">
      <c r="A39" s="42" t="s">
        <v>174</v>
      </c>
      <c r="B39" s="31">
        <f t="shared" si="1"/>
        <v>33</v>
      </c>
      <c r="C39" s="32" t="s">
        <v>187</v>
      </c>
      <c r="D39" s="33" t="s">
        <v>188</v>
      </c>
      <c r="E39" s="32" t="s">
        <v>189</v>
      </c>
      <c r="F39" s="34" t="s">
        <v>190</v>
      </c>
      <c r="G39" s="34" t="s">
        <v>191</v>
      </c>
      <c r="H39" s="33" t="s">
        <v>24</v>
      </c>
      <c r="I39" s="35"/>
      <c r="J39" s="35"/>
      <c r="K39" s="35"/>
      <c r="L39" s="37"/>
      <c r="M39" s="37"/>
      <c r="N39" s="38"/>
      <c r="O39" s="29"/>
      <c r="P39" s="29"/>
      <c r="Q39" s="24"/>
    </row>
    <row r="40">
      <c r="A40" s="40" t="s">
        <v>192</v>
      </c>
      <c r="B40" s="31">
        <f t="shared" si="1"/>
        <v>34</v>
      </c>
      <c r="C40" s="32" t="s">
        <v>193</v>
      </c>
      <c r="D40" s="33" t="s">
        <v>194</v>
      </c>
      <c r="E40" s="32" t="s">
        <v>88</v>
      </c>
      <c r="F40" s="34" t="s">
        <v>195</v>
      </c>
      <c r="G40" s="34" t="s">
        <v>196</v>
      </c>
      <c r="H40" s="33" t="s">
        <v>54</v>
      </c>
      <c r="I40" s="35"/>
      <c r="J40" s="35"/>
      <c r="K40" s="35"/>
      <c r="L40" s="37"/>
      <c r="M40" s="37"/>
      <c r="N40" s="38"/>
      <c r="O40" s="29"/>
      <c r="P40" s="29"/>
      <c r="Q40" s="24"/>
    </row>
    <row r="41">
      <c r="A41" s="30" t="s">
        <v>197</v>
      </c>
      <c r="B41" s="31">
        <f t="shared" si="1"/>
        <v>35</v>
      </c>
      <c r="C41" s="32" t="s">
        <v>198</v>
      </c>
      <c r="D41" s="33" t="s">
        <v>199</v>
      </c>
      <c r="E41" s="32" t="s">
        <v>88</v>
      </c>
      <c r="F41" s="34" t="s">
        <v>200</v>
      </c>
      <c r="G41" s="34" t="s">
        <v>201</v>
      </c>
      <c r="H41" s="33" t="s">
        <v>24</v>
      </c>
      <c r="I41" s="35"/>
      <c r="J41" s="35"/>
      <c r="K41" s="35"/>
      <c r="L41" s="37"/>
      <c r="M41" s="37"/>
      <c r="N41" s="38"/>
      <c r="O41" s="29"/>
      <c r="P41" s="29"/>
      <c r="Q41" s="24"/>
    </row>
    <row r="42">
      <c r="A42" s="30" t="s">
        <v>197</v>
      </c>
      <c r="B42" s="31">
        <f t="shared" si="1"/>
        <v>36</v>
      </c>
      <c r="C42" s="32" t="s">
        <v>202</v>
      </c>
      <c r="D42" s="33" t="s">
        <v>203</v>
      </c>
      <c r="E42" s="32" t="s">
        <v>88</v>
      </c>
      <c r="F42" s="34" t="s">
        <v>204</v>
      </c>
      <c r="G42" s="34" t="s">
        <v>205</v>
      </c>
      <c r="H42" s="33" t="s">
        <v>24</v>
      </c>
      <c r="I42" s="35"/>
      <c r="J42" s="35"/>
      <c r="K42" s="35"/>
      <c r="L42" s="37"/>
      <c r="M42" s="37"/>
      <c r="N42" s="38"/>
      <c r="O42" s="29"/>
      <c r="P42" s="29"/>
      <c r="Q42" s="24"/>
    </row>
    <row r="43">
      <c r="A43" s="30" t="s">
        <v>206</v>
      </c>
      <c r="B43" s="31">
        <f t="shared" si="1"/>
        <v>37</v>
      </c>
      <c r="C43" s="32" t="s">
        <v>207</v>
      </c>
      <c r="D43" s="33" t="s">
        <v>208</v>
      </c>
      <c r="E43" s="32" t="s">
        <v>209</v>
      </c>
      <c r="F43" s="34" t="s">
        <v>210</v>
      </c>
      <c r="G43" s="34" t="s">
        <v>211</v>
      </c>
      <c r="H43" s="33" t="s">
        <v>24</v>
      </c>
      <c r="I43" s="35"/>
      <c r="J43" s="35"/>
      <c r="K43" s="35"/>
      <c r="L43" s="37"/>
      <c r="M43" s="37"/>
      <c r="N43" s="38"/>
      <c r="O43" s="29"/>
      <c r="P43" s="29"/>
      <c r="Q43" s="24"/>
    </row>
    <row r="44">
      <c r="A44" s="30" t="s">
        <v>206</v>
      </c>
      <c r="B44" s="31">
        <f t="shared" si="1"/>
        <v>38</v>
      </c>
      <c r="C44" s="32" t="s">
        <v>212</v>
      </c>
      <c r="D44" s="33" t="s">
        <v>213</v>
      </c>
      <c r="E44" s="32" t="s">
        <v>209</v>
      </c>
      <c r="F44" s="34" t="s">
        <v>214</v>
      </c>
      <c r="G44" s="34" t="s">
        <v>215</v>
      </c>
      <c r="H44" s="33" t="s">
        <v>24</v>
      </c>
      <c r="I44" s="35"/>
      <c r="J44" s="35"/>
      <c r="K44" s="35"/>
      <c r="L44" s="37"/>
      <c r="M44" s="37"/>
      <c r="N44" s="38"/>
      <c r="O44" s="29"/>
      <c r="P44" s="29"/>
      <c r="Q44" s="24"/>
    </row>
    <row r="45">
      <c r="A45" s="30" t="s">
        <v>206</v>
      </c>
      <c r="B45" s="31">
        <f t="shared" si="1"/>
        <v>39</v>
      </c>
      <c r="C45" s="32" t="s">
        <v>216</v>
      </c>
      <c r="D45" s="33" t="s">
        <v>217</v>
      </c>
      <c r="E45" s="32" t="s">
        <v>218</v>
      </c>
      <c r="F45" s="34" t="s">
        <v>219</v>
      </c>
      <c r="G45" s="34" t="s">
        <v>220</v>
      </c>
      <c r="H45" s="33" t="s">
        <v>24</v>
      </c>
      <c r="I45" s="35"/>
      <c r="J45" s="35"/>
      <c r="K45" s="35"/>
      <c r="L45" s="37"/>
      <c r="M45" s="37"/>
      <c r="N45" s="38"/>
      <c r="O45" s="29"/>
      <c r="P45" s="29"/>
      <c r="Q45" s="24"/>
    </row>
    <row r="46">
      <c r="A46" s="40" t="s">
        <v>221</v>
      </c>
      <c r="B46" s="31">
        <f t="shared" si="1"/>
        <v>40</v>
      </c>
      <c r="C46" s="32" t="s">
        <v>222</v>
      </c>
      <c r="D46" s="32" t="s">
        <v>223</v>
      </c>
      <c r="E46" s="32" t="s">
        <v>224</v>
      </c>
      <c r="F46" s="34" t="s">
        <v>225</v>
      </c>
      <c r="G46" s="34" t="s">
        <v>226</v>
      </c>
      <c r="H46" s="33" t="s">
        <v>54</v>
      </c>
      <c r="I46" s="35"/>
      <c r="J46" s="35"/>
      <c r="K46" s="35"/>
      <c r="L46" s="37"/>
      <c r="M46" s="37"/>
      <c r="N46" s="38"/>
      <c r="O46" s="29"/>
      <c r="P46" s="29"/>
      <c r="Q46" s="24"/>
    </row>
    <row r="47">
      <c r="A47" s="40" t="s">
        <v>227</v>
      </c>
      <c r="B47" s="31">
        <f t="shared" si="1"/>
        <v>41</v>
      </c>
      <c r="C47" s="32" t="s">
        <v>228</v>
      </c>
      <c r="D47" s="32" t="s">
        <v>229</v>
      </c>
      <c r="E47" s="32" t="s">
        <v>230</v>
      </c>
      <c r="F47" s="34" t="s">
        <v>231</v>
      </c>
      <c r="G47" s="34" t="s">
        <v>232</v>
      </c>
      <c r="H47" s="33" t="s">
        <v>54</v>
      </c>
      <c r="I47" s="35"/>
      <c r="J47" s="35"/>
      <c r="K47" s="35"/>
      <c r="L47" s="37"/>
      <c r="M47" s="37"/>
      <c r="N47" s="38"/>
      <c r="O47" s="29"/>
      <c r="P47" s="29"/>
      <c r="Q47" s="24"/>
    </row>
    <row r="48">
      <c r="A48" s="40" t="s">
        <v>233</v>
      </c>
      <c r="B48" s="31">
        <f t="shared" si="1"/>
        <v>42</v>
      </c>
      <c r="C48" s="32" t="s">
        <v>234</v>
      </c>
      <c r="D48" s="32" t="s">
        <v>235</v>
      </c>
      <c r="E48" s="32" t="s">
        <v>224</v>
      </c>
      <c r="F48" s="34" t="s">
        <v>236</v>
      </c>
      <c r="G48" s="34" t="s">
        <v>237</v>
      </c>
      <c r="H48" s="33" t="s">
        <v>54</v>
      </c>
      <c r="I48" s="35"/>
      <c r="J48" s="35"/>
      <c r="K48" s="35"/>
      <c r="L48" s="37"/>
      <c r="M48" s="37"/>
      <c r="N48" s="38"/>
      <c r="O48" s="29"/>
      <c r="P48" s="29"/>
      <c r="Q48" s="24"/>
    </row>
    <row r="49">
      <c r="A49" s="40" t="s">
        <v>238</v>
      </c>
      <c r="B49" s="31">
        <f t="shared" si="1"/>
        <v>43</v>
      </c>
      <c r="C49" s="32" t="s">
        <v>239</v>
      </c>
      <c r="D49" s="32" t="s">
        <v>240</v>
      </c>
      <c r="E49" s="32" t="s">
        <v>241</v>
      </c>
      <c r="F49" s="34" t="s">
        <v>242</v>
      </c>
      <c r="G49" s="34" t="s">
        <v>243</v>
      </c>
      <c r="H49" s="33" t="s">
        <v>54</v>
      </c>
      <c r="I49" s="35"/>
      <c r="J49" s="35"/>
      <c r="K49" s="35"/>
      <c r="L49" s="37"/>
      <c r="M49" s="37"/>
      <c r="N49" s="38"/>
      <c r="O49" s="29"/>
      <c r="P49" s="29"/>
      <c r="Q49" s="24"/>
    </row>
    <row r="50">
      <c r="A50" s="40" t="s">
        <v>244</v>
      </c>
      <c r="B50" s="31">
        <f t="shared" si="1"/>
        <v>44</v>
      </c>
      <c r="C50" s="32" t="s">
        <v>245</v>
      </c>
      <c r="D50" s="33" t="s">
        <v>246</v>
      </c>
      <c r="E50" s="32" t="s">
        <v>247</v>
      </c>
      <c r="F50" s="34" t="s">
        <v>248</v>
      </c>
      <c r="G50" s="34" t="s">
        <v>249</v>
      </c>
      <c r="H50" s="33" t="s">
        <v>54</v>
      </c>
      <c r="I50" s="35"/>
      <c r="J50" s="35"/>
      <c r="K50" s="37"/>
      <c r="L50" s="37"/>
      <c r="M50" s="37"/>
      <c r="N50" s="38"/>
      <c r="O50" s="29"/>
      <c r="P50" s="29"/>
      <c r="Q50" s="24"/>
    </row>
    <row r="51">
      <c r="A51" s="43" t="s">
        <v>250</v>
      </c>
      <c r="B51" s="31">
        <f t="shared" si="1"/>
        <v>45</v>
      </c>
      <c r="C51" s="32" t="s">
        <v>251</v>
      </c>
      <c r="D51" s="32" t="s">
        <v>252</v>
      </c>
      <c r="E51" s="32" t="s">
        <v>224</v>
      </c>
      <c r="F51" s="34" t="s">
        <v>253</v>
      </c>
      <c r="G51" s="34" t="s">
        <v>254</v>
      </c>
      <c r="H51" s="33" t="s">
        <v>54</v>
      </c>
      <c r="I51" s="35"/>
      <c r="J51" s="35"/>
      <c r="K51" s="37"/>
      <c r="L51" s="37"/>
      <c r="M51" s="37"/>
      <c r="N51" s="38"/>
      <c r="O51" s="29"/>
      <c r="P51" s="29"/>
      <c r="Q51" s="24"/>
    </row>
    <row r="52">
      <c r="A52" s="40" t="s">
        <v>255</v>
      </c>
      <c r="B52" s="31">
        <f t="shared" si="1"/>
        <v>46</v>
      </c>
      <c r="C52" s="32" t="s">
        <v>256</v>
      </c>
      <c r="D52" s="32" t="s">
        <v>257</v>
      </c>
      <c r="E52" s="32" t="s">
        <v>258</v>
      </c>
      <c r="F52" s="34" t="s">
        <v>259</v>
      </c>
      <c r="G52" s="34" t="s">
        <v>260</v>
      </c>
      <c r="H52" s="33" t="s">
        <v>54</v>
      </c>
      <c r="I52" s="35"/>
      <c r="J52" s="35"/>
      <c r="K52" s="37"/>
      <c r="L52" s="37"/>
      <c r="M52" s="37"/>
      <c r="N52" s="38"/>
      <c r="O52" s="29"/>
      <c r="P52" s="29"/>
      <c r="Q52" s="24"/>
    </row>
    <row r="53">
      <c r="A53" s="40" t="s">
        <v>261</v>
      </c>
      <c r="B53" s="44"/>
      <c r="C53" s="32" t="s">
        <v>262</v>
      </c>
      <c r="D53" s="33" t="s">
        <v>263</v>
      </c>
      <c r="E53" s="32" t="s">
        <v>264</v>
      </c>
      <c r="F53" s="34" t="s">
        <v>265</v>
      </c>
      <c r="G53" s="34" t="s">
        <v>266</v>
      </c>
      <c r="H53" s="33" t="s">
        <v>54</v>
      </c>
      <c r="I53" s="37"/>
      <c r="J53" s="35"/>
      <c r="K53" s="37"/>
      <c r="L53" s="37"/>
      <c r="M53" s="37"/>
      <c r="N53" s="38"/>
      <c r="O53" s="29"/>
      <c r="P53" s="29"/>
      <c r="Q53" s="24"/>
    </row>
    <row r="54">
      <c r="A54" s="40" t="s">
        <v>267</v>
      </c>
      <c r="B54" s="31">
        <f t="shared" ref="B54:B58" si="2">row()-6</f>
        <v>48</v>
      </c>
      <c r="C54" s="32" t="s">
        <v>268</v>
      </c>
      <c r="D54" s="33" t="s">
        <v>269</v>
      </c>
      <c r="E54" s="32" t="s">
        <v>270</v>
      </c>
      <c r="F54" s="34" t="s">
        <v>271</v>
      </c>
      <c r="G54" s="34" t="s">
        <v>272</v>
      </c>
      <c r="H54" s="33" t="s">
        <v>24</v>
      </c>
      <c r="I54" s="35"/>
      <c r="J54" s="35"/>
      <c r="K54" s="37"/>
      <c r="L54" s="37"/>
      <c r="M54" s="37"/>
      <c r="N54" s="38"/>
      <c r="O54" s="29"/>
      <c r="P54" s="29"/>
      <c r="Q54" s="24"/>
    </row>
    <row r="55">
      <c r="A55" s="40" t="s">
        <v>273</v>
      </c>
      <c r="B55" s="31">
        <f t="shared" si="2"/>
        <v>49</v>
      </c>
      <c r="C55" s="32" t="s">
        <v>274</v>
      </c>
      <c r="D55" s="33" t="s">
        <v>275</v>
      </c>
      <c r="E55" s="32" t="s">
        <v>276</v>
      </c>
      <c r="F55" s="34" t="s">
        <v>277</v>
      </c>
      <c r="G55" s="34" t="s">
        <v>278</v>
      </c>
      <c r="H55" s="33" t="s">
        <v>54</v>
      </c>
      <c r="I55" s="35"/>
      <c r="J55" s="35"/>
      <c r="K55" s="37"/>
      <c r="L55" s="37"/>
      <c r="M55" s="37"/>
      <c r="N55" s="38"/>
      <c r="O55" s="29"/>
      <c r="P55" s="29"/>
      <c r="Q55" s="24"/>
    </row>
    <row r="56">
      <c r="A56" s="40" t="s">
        <v>279</v>
      </c>
      <c r="B56" s="31">
        <f t="shared" si="2"/>
        <v>50</v>
      </c>
      <c r="C56" s="32" t="s">
        <v>280</v>
      </c>
      <c r="D56" s="32" t="s">
        <v>281</v>
      </c>
      <c r="E56" s="32" t="s">
        <v>282</v>
      </c>
      <c r="F56" s="34" t="s">
        <v>283</v>
      </c>
      <c r="G56" s="34" t="s">
        <v>284</v>
      </c>
      <c r="H56" s="33" t="s">
        <v>54</v>
      </c>
      <c r="I56" s="35"/>
      <c r="J56" s="35"/>
      <c r="K56" s="37"/>
      <c r="L56" s="37"/>
      <c r="M56" s="37"/>
      <c r="N56" s="38"/>
      <c r="O56" s="29"/>
      <c r="P56" s="29"/>
      <c r="Q56" s="24"/>
    </row>
    <row r="57">
      <c r="A57" s="40" t="s">
        <v>285</v>
      </c>
      <c r="B57" s="31">
        <f t="shared" si="2"/>
        <v>51</v>
      </c>
      <c r="C57" s="32" t="s">
        <v>286</v>
      </c>
      <c r="D57" s="32" t="s">
        <v>287</v>
      </c>
      <c r="E57" s="32" t="s">
        <v>288</v>
      </c>
      <c r="F57" s="34" t="s">
        <v>289</v>
      </c>
      <c r="G57" s="34" t="s">
        <v>290</v>
      </c>
      <c r="H57" s="33" t="s">
        <v>54</v>
      </c>
      <c r="I57" s="35"/>
      <c r="J57" s="35"/>
      <c r="K57" s="37"/>
      <c r="L57" s="37"/>
      <c r="M57" s="37"/>
      <c r="N57" s="38"/>
      <c r="O57" s="29"/>
      <c r="P57" s="29"/>
      <c r="Q57" s="24"/>
    </row>
    <row r="58">
      <c r="A58" s="40" t="s">
        <v>291</v>
      </c>
      <c r="B58" s="31">
        <f t="shared" si="2"/>
        <v>52</v>
      </c>
      <c r="C58" s="32" t="s">
        <v>292</v>
      </c>
      <c r="D58" s="33" t="s">
        <v>293</v>
      </c>
      <c r="E58" s="32" t="s">
        <v>294</v>
      </c>
      <c r="F58" s="34" t="s">
        <v>295</v>
      </c>
      <c r="G58" s="34" t="s">
        <v>296</v>
      </c>
      <c r="H58" s="33" t="s">
        <v>54</v>
      </c>
      <c r="I58" s="35"/>
      <c r="J58" s="35"/>
      <c r="K58" s="37"/>
      <c r="L58" s="37"/>
      <c r="M58" s="37"/>
      <c r="N58" s="38"/>
      <c r="O58" s="29"/>
      <c r="P58" s="29"/>
      <c r="Q58" s="24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</sheetData>
  <mergeCells count="60">
    <mergeCell ref="N55:Q55"/>
    <mergeCell ref="N56:Q56"/>
    <mergeCell ref="N57:Q57"/>
    <mergeCell ref="N58:Q58"/>
    <mergeCell ref="N48:Q48"/>
    <mergeCell ref="N49:Q49"/>
    <mergeCell ref="N50:Q50"/>
    <mergeCell ref="N51:Q51"/>
    <mergeCell ref="N52:Q52"/>
    <mergeCell ref="N53:Q53"/>
    <mergeCell ref="N54:Q54"/>
    <mergeCell ref="A1:A2"/>
    <mergeCell ref="G2:H2"/>
    <mergeCell ref="I2:I3"/>
    <mergeCell ref="G3:H3"/>
    <mergeCell ref="G4:H4"/>
    <mergeCell ref="G5:H5"/>
    <mergeCell ref="D6:E6"/>
    <mergeCell ref="N6:Q6"/>
    <mergeCell ref="N7:Q7"/>
    <mergeCell ref="N8:Q8"/>
    <mergeCell ref="N9:Q9"/>
    <mergeCell ref="N10:Q10"/>
    <mergeCell ref="N11:Q11"/>
    <mergeCell ref="N12:Q12"/>
    <mergeCell ref="N13:Q13"/>
    <mergeCell ref="N14:Q14"/>
    <mergeCell ref="N15:Q15"/>
    <mergeCell ref="N16:Q16"/>
    <mergeCell ref="N17:Q17"/>
    <mergeCell ref="N18:Q18"/>
    <mergeCell ref="N19:Q19"/>
    <mergeCell ref="N20:Q20"/>
    <mergeCell ref="N21:Q21"/>
    <mergeCell ref="N22:Q22"/>
    <mergeCell ref="N23:Q23"/>
    <mergeCell ref="N24:Q24"/>
    <mergeCell ref="N25:Q25"/>
    <mergeCell ref="N26:Q26"/>
    <mergeCell ref="N27:Q27"/>
    <mergeCell ref="N28:Q28"/>
    <mergeCell ref="N29:Q29"/>
    <mergeCell ref="N30:Q30"/>
    <mergeCell ref="N31:Q31"/>
    <mergeCell ref="N32:Q32"/>
    <mergeCell ref="N33:Q33"/>
    <mergeCell ref="N34:Q34"/>
    <mergeCell ref="N35:Q35"/>
    <mergeCell ref="N36:Q36"/>
    <mergeCell ref="N37:Q37"/>
    <mergeCell ref="N38:Q38"/>
    <mergeCell ref="N39:Q39"/>
    <mergeCell ref="N40:Q40"/>
    <mergeCell ref="N41:Q41"/>
    <mergeCell ref="N42:Q42"/>
    <mergeCell ref="N43:Q43"/>
    <mergeCell ref="N44:Q44"/>
    <mergeCell ref="N45:Q45"/>
    <mergeCell ref="N46:Q46"/>
    <mergeCell ref="N47:Q47"/>
  </mergeCells>
  <dataValidations>
    <dataValidation type="list" allowBlank="1" sqref="I7:I58">
      <formula1>"PASS,FAIL,NI,Block"</formula1>
    </dataValidation>
    <dataValidation type="list" allowBlank="1" sqref="J7:M58">
      <formula1>"박영두,유시현,이찬욱"</formula1>
    </dataValidation>
  </dataValidations>
  <hyperlinks>
    <hyperlink r:id="rId1" ref="A7"/>
    <hyperlink r:id="rId2" ref="A8"/>
    <hyperlink r:id="rId3" ref="A9"/>
    <hyperlink r:id="rId4" ref="A10"/>
    <hyperlink r:id="rId5" ref="A11"/>
    <hyperlink r:id="rId6" ref="A14"/>
    <hyperlink r:id="rId7" ref="A15"/>
    <hyperlink r:id="rId8" ref="A16"/>
    <hyperlink r:id="rId9" ref="A17"/>
    <hyperlink r:id="rId10" ref="A18"/>
    <hyperlink r:id="rId11" ref="A19"/>
    <hyperlink r:id="rId12" ref="A20"/>
    <hyperlink r:id="rId13" ref="A21"/>
    <hyperlink r:id="rId14" ref="A22"/>
    <hyperlink r:id="rId15" ref="A27"/>
    <hyperlink r:id="rId16" ref="A28"/>
    <hyperlink r:id="rId17" ref="A29"/>
    <hyperlink r:id="rId18" ref="A30"/>
    <hyperlink r:id="rId19" ref="A31"/>
    <hyperlink r:id="rId20" ref="A32"/>
    <hyperlink r:id="rId21" ref="A33"/>
    <hyperlink r:id="rId22" ref="A34"/>
    <hyperlink r:id="rId23" ref="A35"/>
    <hyperlink r:id="rId24" ref="A36"/>
    <hyperlink r:id="rId25" ref="A37"/>
    <hyperlink r:id="rId26" ref="A38"/>
    <hyperlink r:id="rId27" ref="A39"/>
    <hyperlink r:id="rId28" ref="A41"/>
    <hyperlink r:id="rId29" ref="A42"/>
    <hyperlink r:id="rId30" ref="A43"/>
    <hyperlink r:id="rId31" ref="A44"/>
    <hyperlink r:id="rId32" ref="A4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3"/>
</worksheet>
</file>